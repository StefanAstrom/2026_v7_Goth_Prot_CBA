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nthesisllc-my.sharepoint.com/personal/lovisa_areback_anthesisgroup_com/Documents/Dokument/GitHub/CBA_GBG_PROT/Raw_Data/"/>
    </mc:Choice>
  </mc:AlternateContent>
  <xr:revisionPtr revIDLastSave="174" documentId="8_{6875EADB-AFAD-4E79-A326-5762FBACA071}" xr6:coauthVersionLast="47" xr6:coauthVersionMax="47" xr10:uidLastSave="{233CA821-7F4E-41DA-9796-5270914A310F}"/>
  <bookViews>
    <workbookView xWindow="-103" yWindow="-103" windowWidth="22149" windowHeight="13200" xr2:uid="{0EFAC0D5-3333-49E4-993E-3033691A9986}"/>
  </bookViews>
  <sheets>
    <sheet name="VALESOR VOLY VSL vQALY" sheetId="50" r:id="rId1"/>
    <sheet name="INFO" sheetId="51" r:id="rId2"/>
    <sheet name="Data" sheetId="54" r:id="rId3"/>
    <sheet name="Series - Metadata" sheetId="55"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50" l="1"/>
  <c r="B2" i="50"/>
  <c r="M58" i="54"/>
  <c r="L58" i="54"/>
  <c r="L3" i="54"/>
  <c r="M3" i="54"/>
  <c r="L4" i="54"/>
  <c r="M4" i="54"/>
  <c r="L5" i="54"/>
  <c r="M5" i="54"/>
  <c r="L6" i="54"/>
  <c r="M6" i="54"/>
  <c r="L7" i="54"/>
  <c r="M7" i="54"/>
  <c r="L8" i="54"/>
  <c r="M8" i="54"/>
  <c r="L9" i="54"/>
  <c r="M9" i="54"/>
  <c r="L10" i="54"/>
  <c r="M10" i="54"/>
  <c r="L11" i="54"/>
  <c r="M11" i="54"/>
  <c r="L12" i="54"/>
  <c r="M12" i="54"/>
  <c r="L13" i="54"/>
  <c r="M13" i="54"/>
  <c r="L14" i="54"/>
  <c r="M14" i="54"/>
  <c r="L15" i="54"/>
  <c r="M15" i="54"/>
  <c r="L16" i="54"/>
  <c r="M16" i="54"/>
  <c r="L17" i="54"/>
  <c r="M17" i="54"/>
  <c r="L18" i="54"/>
  <c r="M18" i="54"/>
  <c r="L19" i="54"/>
  <c r="M19" i="54"/>
  <c r="L20" i="54"/>
  <c r="M20" i="54"/>
  <c r="L21" i="54"/>
  <c r="M21" i="54"/>
  <c r="L22" i="54"/>
  <c r="M22" i="54"/>
  <c r="L23" i="54"/>
  <c r="M23" i="54"/>
  <c r="L24" i="54"/>
  <c r="M24" i="54"/>
  <c r="L25" i="54"/>
  <c r="M25" i="54"/>
  <c r="L26" i="54"/>
  <c r="M26" i="54"/>
  <c r="L27" i="54"/>
  <c r="M27" i="54"/>
  <c r="L28" i="54"/>
  <c r="M28" i="54"/>
  <c r="L29" i="54"/>
  <c r="M29" i="54"/>
  <c r="L30" i="54"/>
  <c r="M30" i="54"/>
  <c r="L31" i="54"/>
  <c r="M31" i="54"/>
  <c r="L32" i="54"/>
  <c r="M32" i="54"/>
  <c r="L33" i="54"/>
  <c r="M33" i="54"/>
  <c r="L34" i="54"/>
  <c r="M34" i="54"/>
  <c r="L35" i="54"/>
  <c r="M35" i="54"/>
  <c r="L36" i="54"/>
  <c r="M36" i="54"/>
  <c r="L37" i="54"/>
  <c r="M37" i="54"/>
  <c r="L38" i="54"/>
  <c r="M38" i="54"/>
  <c r="L39" i="54"/>
  <c r="M39" i="54"/>
  <c r="L40" i="54"/>
  <c r="M40" i="54"/>
  <c r="L41" i="54"/>
  <c r="M41" i="54"/>
  <c r="L42" i="54"/>
  <c r="M42" i="54"/>
  <c r="L43" i="54"/>
  <c r="M43" i="54"/>
  <c r="L44" i="54"/>
  <c r="M44" i="54"/>
  <c r="L45" i="54"/>
  <c r="M45" i="54"/>
  <c r="L46" i="54"/>
  <c r="M46" i="54"/>
  <c r="L47" i="54"/>
  <c r="M47" i="54"/>
  <c r="L48" i="54"/>
  <c r="M48" i="54"/>
  <c r="L49" i="54"/>
  <c r="M49" i="54"/>
  <c r="L50" i="54"/>
  <c r="M50" i="54"/>
  <c r="L51" i="54"/>
  <c r="M51" i="54"/>
  <c r="L52" i="54"/>
  <c r="M52" i="54"/>
  <c r="L53" i="54"/>
  <c r="M53" i="54"/>
  <c r="L54" i="54"/>
  <c r="M54" i="54"/>
  <c r="L55" i="54"/>
  <c r="M55" i="54"/>
  <c r="L56" i="54"/>
  <c r="M56" i="54"/>
  <c r="L57" i="54"/>
  <c r="M57" i="54"/>
  <c r="M2" i="54"/>
  <c r="L2" i="54"/>
</calcChain>
</file>

<file path=xl/sharedStrings.xml><?xml version="1.0" encoding="utf-8"?>
<sst xmlns="http://schemas.openxmlformats.org/spreadsheetml/2006/main" count="352" uniqueCount="192">
  <si>
    <t>Country/region</t>
  </si>
  <si>
    <t>VOLY</t>
  </si>
  <si>
    <t>VSL</t>
  </si>
  <si>
    <t>Pan-European</t>
  </si>
  <si>
    <t>EU27</t>
  </si>
  <si>
    <t>Western Balkan</t>
  </si>
  <si>
    <t>EECCA</t>
  </si>
  <si>
    <t>UNECE Europe</t>
  </si>
  <si>
    <t>UNECE Caucasus + Asia</t>
  </si>
  <si>
    <t>EFTA</t>
  </si>
  <si>
    <t>Austria</t>
  </si>
  <si>
    <t>Belgium</t>
  </si>
  <si>
    <t>Bulgaria</t>
  </si>
  <si>
    <t>Croatia</t>
  </si>
  <si>
    <t>Cyprus</t>
  </si>
  <si>
    <t>Czech Republic</t>
  </si>
  <si>
    <t>Denmark</t>
  </si>
  <si>
    <t>Estonia</t>
  </si>
  <si>
    <t>Finland</t>
  </si>
  <si>
    <t>France</t>
  </si>
  <si>
    <t>Germany</t>
  </si>
  <si>
    <t>Greece</t>
  </si>
  <si>
    <t>Hungary</t>
  </si>
  <si>
    <t>Ireland</t>
  </si>
  <si>
    <t>Italy</t>
  </si>
  <si>
    <t>Latvia</t>
  </si>
  <si>
    <t>Lithuania</t>
  </si>
  <si>
    <t>Luxembourg</t>
  </si>
  <si>
    <t>Malta</t>
  </si>
  <si>
    <t>Netherlands</t>
  </si>
  <si>
    <t>Poland</t>
  </si>
  <si>
    <t>Portugal</t>
  </si>
  <si>
    <t>Romania</t>
  </si>
  <si>
    <t>Slovak Republic</t>
  </si>
  <si>
    <t>Slovenia</t>
  </si>
  <si>
    <t>Spain</t>
  </si>
  <si>
    <t>Sweden</t>
  </si>
  <si>
    <t>United Kingdom</t>
  </si>
  <si>
    <t>Iceland</t>
  </si>
  <si>
    <t>Norway</t>
  </si>
  <si>
    <t>Switzerland</t>
  </si>
  <si>
    <t>Turkey</t>
  </si>
  <si>
    <t>Armenia</t>
  </si>
  <si>
    <t>Azerbaijan</t>
  </si>
  <si>
    <t>Belarus</t>
  </si>
  <si>
    <t>Georgia</t>
  </si>
  <si>
    <t>Kazakhstan</t>
  </si>
  <si>
    <t>Kyrgyzstan</t>
  </si>
  <si>
    <t>Republic of Moldova</t>
  </si>
  <si>
    <t>Russia European part</t>
  </si>
  <si>
    <t>Tajikistan</t>
  </si>
  <si>
    <t>Turkmenistan</t>
  </si>
  <si>
    <t>Ukraine</t>
  </si>
  <si>
    <t>Uzbekistan</t>
  </si>
  <si>
    <t>Albania</t>
  </si>
  <si>
    <t>Bosnia and Herzegovina</t>
  </si>
  <si>
    <t>Montenegro</t>
  </si>
  <si>
    <t>North Macedonia</t>
  </si>
  <si>
    <t>Serbia</t>
  </si>
  <si>
    <t>Values marked yellow taken from OECD calculations for 2040</t>
  </si>
  <si>
    <t>Values marked green taken from VALESOR</t>
  </si>
  <si>
    <t>Values marked blue a GDP weighted mean</t>
  </si>
  <si>
    <t>Last Updated: 04/08/2026</t>
  </si>
  <si>
    <t>Data from database: World Development Indicators</t>
  </si>
  <si>
    <t>AUT</t>
  </si>
  <si>
    <t>YR2020</t>
  </si>
  <si>
    <t>BLR</t>
  </si>
  <si>
    <t>BIH</t>
  </si>
  <si>
    <t>CYP</t>
  </si>
  <si>
    <t>DNK</t>
  </si>
  <si>
    <t>FRA</t>
  </si>
  <si>
    <t>DEU</t>
  </si>
  <si>
    <t>HUN</t>
  </si>
  <si>
    <t>GRC</t>
  </si>
  <si>
    <t>IRL</t>
  </si>
  <si>
    <t>ITA</t>
  </si>
  <si>
    <t>XKX</t>
  </si>
  <si>
    <t>Kosovo</t>
  </si>
  <si>
    <t>LVA</t>
  </si>
  <si>
    <t>LTU</t>
  </si>
  <si>
    <t>MDA</t>
  </si>
  <si>
    <t>Moldova</t>
  </si>
  <si>
    <t>MNE</t>
  </si>
  <si>
    <t>MKD</t>
  </si>
  <si>
    <t>POL</t>
  </si>
  <si>
    <t>ROU</t>
  </si>
  <si>
    <t>SVK</t>
  </si>
  <si>
    <t>ESP</t>
  </si>
  <si>
    <t>CHE</t>
  </si>
  <si>
    <t>TUR</t>
  </si>
  <si>
    <t>Turkiye</t>
  </si>
  <si>
    <t>UKR</t>
  </si>
  <si>
    <t>UZB</t>
  </si>
  <si>
    <t>GBR</t>
  </si>
  <si>
    <t>TKM</t>
  </si>
  <si>
    <t>TJK</t>
  </si>
  <si>
    <t>SWE</t>
  </si>
  <si>
    <t>SVN</t>
  </si>
  <si>
    <t>SRB</t>
  </si>
  <si>
    <t>RUS</t>
  </si>
  <si>
    <t>Russian Federation</t>
  </si>
  <si>
    <t>PRT</t>
  </si>
  <si>
    <t>NOR</t>
  </si>
  <si>
    <t>NLD</t>
  </si>
  <si>
    <t>LUX</t>
  </si>
  <si>
    <t>KGZ</t>
  </si>
  <si>
    <t>Kyrgyz Republic</t>
  </si>
  <si>
    <t>KAZ</t>
  </si>
  <si>
    <t>IMN</t>
  </si>
  <si>
    <t>Isle of Man</t>
  </si>
  <si>
    <t>GEO</t>
  </si>
  <si>
    <t>FIN</t>
  </si>
  <si>
    <t>EST</t>
  </si>
  <si>
    <t>HRV</t>
  </si>
  <si>
    <t>CZE</t>
  </si>
  <si>
    <t>Czechia</t>
  </si>
  <si>
    <t>BGR</t>
  </si>
  <si>
    <t>AZE</t>
  </si>
  <si>
    <t>ARM</t>
  </si>
  <si>
    <t>BEL</t>
  </si>
  <si>
    <t>ALB</t>
  </si>
  <si>
    <t>Population, total [SP.POP.TOTL]</t>
  </si>
  <si>
    <t>GDP (current US$) [NY.GDP.MKTP.CD]</t>
  </si>
  <si>
    <t>Country Code</t>
  </si>
  <si>
    <t>Country Name</t>
  </si>
  <si>
    <t>Time Code</t>
  </si>
  <si>
    <t>Time</t>
  </si>
  <si>
    <t>https://datacatalog.worldbank.org/public-licenses#cc-by</t>
  </si>
  <si>
    <t>Relevance to gender indicator: disaggregating the population composition by gender will help a country in projecting its demand for social services on a gender basis.</t>
  </si>
  <si>
    <t>Current population estimates for developing countries that lack (i) reliable recent census data, and (ii) pre- and post-census estimates for countries with census data, are provided by the United Nations Population Division and other agencies. 
The cohort component method - a standard method for estimating and projecting population - requires fertility, mortality, and net migration data, often collected from sample surveys, which can be small or limited in coverage. Population estimates are from demographic modeling and so are susceptible to biases and errors from shortcomings in both the model and the data.
Because future trends cannot be known with certainty, population projections have a wide range of uncertainty.</t>
  </si>
  <si>
    <t>Increases in human population, whether as a result of immigration or more births than deaths, can impact natural resources and social infrastructure.  This can place pressure on a country's sustainability.  A significant growth in population will negatively impact the availability of land for agricultural production, and will aggravate demand for food, energy, water, social services, and infrastructure. On the other hand, decreasing population size - a result of fewer births than deaths, and people moving out of a country - can impact a government's commitment to maintain services and infrastructure.</t>
  </si>
  <si>
    <t>Methodology: Population estimates are usually based on national population censuses, and estimates of fertility, mortality and migration.
Errors and undercounting in census occur even in high-income countries.  In developing countries errors may be substantial because of limits in the transport, communications, and other resources required to conduct and analyze a full census.
The quality and reliability of official demographic data are also affected by public trust in the government, government commitment to full and accurate enumeration, confidentiality and protection against misuse of census data, and census agencies' independence from political influence. Moreover, comparability of population indicators is limited by differences in the concepts, definitions, collection procedures, and estimation methods used by national statistical agencies and other organizations that collect the data.
The currentness of a census and the availability of complementary data from surveys or registration systems are objective ways to judge demographic data quality. Some European countries' registration systems offer complete information on population in the absence of a census.
The United Nations Statistics Division monitors the completeness of vital registration systems. Some developing countries have made progress over the last 60 years, but others still have deficiencies in civil registration systems.
International migration is the only other factor besides birth and death rates that directly determines a country's population change. Estimating migration is difficult. At any time many people are located outside their home country as tourists, workers, or refugees or for other reasons. Standards for the duration and purpose of international moves that qualify as migration vary, and estimates require information on flows into and out of countries that is difficult to collect.
One of the major data sources of this indicator is UN Population Division's World Population Prospects, which use the cohort component method to produce population estimates and projections.
Population projections, starting from a base year are projected forward using assumptions of mortality, fertility, and migration by age and sex through 2050, based on the UN Population Division's World Population Prospects database medium variant.
Statistical concept(s): Estimates of total population describe the size of total population. Population estimates are dependent on the demographic components of change that are fertility, mortality and migration. As the size of population continues to change throughout the time even within a year, a reference time in the year that the estimate refers to is needed, such as mid-year, end-year or beginning of year. The values shown are midyear estimates.</t>
  </si>
  <si>
    <t>Sum</t>
  </si>
  <si>
    <t>1960-2025</t>
  </si>
  <si>
    <t>Annual</t>
  </si>
  <si>
    <t>Unit</t>
  </si>
  <si>
    <t>WB_WDI</t>
  </si>
  <si>
    <t>Health: Population: Structure</t>
  </si>
  <si>
    <t>World Population Prospects, United Nations (UN), uri: https://population.un.org/wpp/, publisher: UN Population Division;
Statistical databases and publications from national statistical offices, National Statistical Offices, uri: https://unstats.un.org/home/nso_sites/, publisher: National Statistical Offices;
Eurostat: Demographic Statistics, Eurostat (ESTAT), uri: https://ec.europa.eu/eurostat/data/database?node_code=earn_ses_monthly, publisher: Eurostat;
Population and Vital Statistics Report (various years), United Nations (UN), uri: https://unstats.un.org, publisher: UN Statistics Division</t>
  </si>
  <si>
    <t>Total population is based on the de facto definition of population, which counts all residents regardless of legal status or citizenship. The values shown are midyear estimates.</t>
  </si>
  <si>
    <t>Population, total</t>
  </si>
  <si>
    <t>CC BY-4.0</t>
  </si>
  <si>
    <t>SP.POP.TOTL</t>
  </si>
  <si>
    <t>Gross domestic product (GDP), though widely tracked, may not always be the most relevant summary of aggregated economic performance for all economies, especially when production occurs at the expense of consuming capital stock.
While GDP estimates based on the production approach are generally more reliable than estimates compiled from the income or expenditure side, different countries use different definitions, methods, and reporting standards. World Bank staff review the quality of national accounts data and sometimes make adjustments to improve consistency with international guidelines. Nevertheless, significant discrepancies remain between international standards and actual practice. Many statistical offices, especially those in developing countries, face severe limitations in the resources, time, training, and budgets required to produce reliable and comprehensive series of national accounts statistics.
Among the difficulties faced by compilers of national accounts is the extent of unreported economic activity in the informal or secondary economy. In developing countries a large share of agricultural output is either not exchanged (because it is consumed within the household) or not exchanged for money.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</si>
  <si>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national accounts aggregates. Gross Domestic Product (GDP), Gross National Income (GNI), and other aggregates provide a snapshot of the size and health of an economy by measuring the total economic activity within a country. They can thus be used by policymakers to design and implement economic policies, as they reflect the overall economic performance and can indicate the need for intervention in certain areas. Aggregates also allow for comparisons between different economies, which can be useful for trade negotiations, investment decisions, and economic benchmarking. By examining aggregates over time, economists and analysts can identify trends, cycles, and potential areas of concern within an economy, and investors can use national accounts aggregates to assess the potential risks and returns of investing in a particular country. Overall, national accounts aggregates are fundamental tools for economic analysis, policy formulation, and decision-making at both the national and international levels.</t>
  </si>
  <si>
    <t>Methodology: National accounts are compiled in accordance with international standards: System of National Accounts, 2008 or 1993 versions. Specific information on how countries compile their national accounts can be found on the IMF website: https://dsbb.imf.org/
Statistical concept(s): The conceptual elements of the SNA (System of National Accounts) measure what takes place in the economy, between which agents, and for what purpose. At the heart of the SNA is the production of goods and services. These may be used for consumption in the period to which the accounts relate or may be accumulated for use in a later period. In simple terms, the amount of value added generated by production represents GDP. The income corresponding to GDP is distributed to the various agents or groups of agents as income and it is the process of distributing and redistributing income that allows one agent to consume the goods and services produced by another agent or to acquire goods and services for later consumption. The way in which the SNA captures this pattern of economic flows is to identify the activities concerned by recognizing the institutional units in the economy and by specifying the structure of accounts capturing the transactions relevant to one stage or another of the process by which goods and services are produced and ultimately consumed.</t>
  </si>
  <si>
    <t>Gap-filled total</t>
  </si>
  <si>
    <t>1960-2024</t>
  </si>
  <si>
    <t>Current US$</t>
  </si>
  <si>
    <t>Economic Policy &amp; Debt: National accounts: US$ at current prices: Aggregate indicators</t>
  </si>
  <si>
    <t>Country official statistics, National Statistical Organizations and/or Central Banks;
National Accounts data files, Organisation for Economic Co-operation and Development (OECD);
Staff estimates, World Bank (WB)</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</si>
  <si>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current prices, meaning no adjustment has been made to account for price changes over time. This indicator is expressed in United States dollars.</t>
  </si>
  <si>
    <t>GDP (current US$)</t>
  </si>
  <si>
    <t>NY.GDP.MKTP.CD</t>
  </si>
  <si>
    <t>License URL</t>
  </si>
  <si>
    <t>Other notes</t>
  </si>
  <si>
    <t>Limitations and exceptions</t>
  </si>
  <si>
    <t>Development relevance</t>
  </si>
  <si>
    <t>Statistical concept and methodology</t>
  </si>
  <si>
    <t>Aggregation method</t>
  </si>
  <si>
    <t>Reference period</t>
  </si>
  <si>
    <t>Periodicity</t>
  </si>
  <si>
    <t>Unit of measure</t>
  </si>
  <si>
    <t>Dataset</t>
  </si>
  <si>
    <t>Topic</t>
  </si>
  <si>
    <t>Source</t>
  </si>
  <si>
    <t>Long definition</t>
  </si>
  <si>
    <t>Indicator Name</t>
  </si>
  <si>
    <t>License Type</t>
  </si>
  <si>
    <t>Code</t>
  </si>
  <si>
    <t>SMR</t>
  </si>
  <si>
    <t>San Marino</t>
  </si>
  <si>
    <t>CHI</t>
  </si>
  <si>
    <t>Channel Islands</t>
  </si>
  <si>
    <t>MCO</t>
  </si>
  <si>
    <t>Monaco</t>
  </si>
  <si>
    <t>LIE</t>
  </si>
  <si>
    <t>Liechtenstein</t>
  </si>
  <si>
    <t>..</t>
  </si>
  <si>
    <t>GIB</t>
  </si>
  <si>
    <t>Gibraltar</t>
  </si>
  <si>
    <t>AND</t>
  </si>
  <si>
    <t>Andorra</t>
  </si>
  <si>
    <t>Country</t>
  </si>
  <si>
    <t>Merged with small countries and dependencies</t>
  </si>
  <si>
    <t>x</t>
  </si>
  <si>
    <t>Andorra, Monaco, Guernsey, Jersey</t>
  </si>
  <si>
    <t>San Marino, Vatican</t>
  </si>
  <si>
    <t xml:space="preserve">Isle of Man </t>
  </si>
  <si>
    <t>ISL</t>
  </si>
  <si>
    <t>UNECE European continent</t>
  </si>
  <si>
    <t>Nordics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</si>
</sst>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00_);_(* \(#,##0.00\);_(* &quot;-&quot;??_);_(@_)"/>
    <numFmt numFmtId="165" formatCode="_-* #,##0_-;\-* #,##0_-;_-* &quot;-&quot;??_-;_-@_-"/>
  </numFmts>
  <fonts count="3" x14ac:knownFonts="1">
    <font>
      <sz val="11"/>
      <color theme="1"/>
      <name val="Calibri"/>
      <family val="2"/>
      <scheme val="minor"/>
    </font>
    <font>
      <b/>
      <sz val="11"/>
      <color theme="1"/>
      <name val="Calibri"/>
      <family val="2"/>
      <scheme val="minor"/>
    </font>
    <font>
      <sz val="11"/>
      <color theme="1"/>
      <name val="Calibri"/>
      <family val="2"/>
      <scheme val="minor"/>
    </font>
  </fonts>
  <fills count="5">
    <fill>
      <patternFill patternType="none"/>
    </fill>
    <fill>
      <patternFill patternType="gray125"/>
    </fill>
    <fill>
      <patternFill patternType="solid">
        <fgColor rgb="FFCCFFCC"/>
        <bgColor indexed="64"/>
      </patternFill>
    </fill>
    <fill>
      <patternFill patternType="solid">
        <fgColor rgb="FFFFFF00"/>
        <bgColor indexed="64"/>
      </patternFill>
    </fill>
    <fill>
      <patternFill patternType="solid">
        <fgColor rgb="FF90E1FA"/>
        <bgColor indexed="64"/>
      </patternFill>
    </fill>
  </fills>
  <borders count="8">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s>
  <cellStyleXfs count="3">
    <xf numFmtId="0" fontId="0" fillId="0" borderId="0"/>
    <xf numFmtId="164" fontId="2" fillId="0" borderId="0" applyFont="0" applyFill="0" applyBorder="0" applyAlignment="0" applyProtection="0"/>
    <xf numFmtId="43" fontId="2" fillId="0" borderId="0" applyFont="0" applyFill="0" applyBorder="0" applyAlignment="0" applyProtection="0"/>
  </cellStyleXfs>
  <cellXfs count="27">
    <xf numFmtId="0" fontId="0" fillId="0" borderId="0" xfId="0"/>
    <xf numFmtId="0" fontId="0" fillId="0" borderId="0" xfId="0" applyAlignment="1">
      <alignment vertical="top"/>
    </xf>
    <xf numFmtId="0" fontId="1" fillId="0" borderId="1" xfId="0" applyFont="1" applyBorder="1" applyAlignment="1">
      <alignment vertical="top"/>
    </xf>
    <xf numFmtId="3" fontId="1" fillId="0" borderId="2" xfId="0" applyNumberFormat="1" applyFont="1" applyBorder="1" applyAlignment="1">
      <alignment horizontal="center" vertical="top"/>
    </xf>
    <xf numFmtId="0" fontId="1" fillId="0" borderId="2" xfId="0" applyFont="1" applyBorder="1" applyAlignment="1">
      <alignment vertical="top"/>
    </xf>
    <xf numFmtId="0" fontId="0" fillId="0" borderId="2" xfId="0" applyBorder="1" applyAlignment="1">
      <alignment vertical="top"/>
    </xf>
    <xf numFmtId="0" fontId="0" fillId="0" borderId="4" xfId="0" applyBorder="1" applyAlignment="1">
      <alignment vertical="top"/>
    </xf>
    <xf numFmtId="0" fontId="0" fillId="0" borderId="5" xfId="0" applyBorder="1" applyAlignment="1">
      <alignment vertical="top"/>
    </xf>
    <xf numFmtId="3" fontId="1" fillId="0" borderId="1" xfId="0" applyNumberFormat="1" applyFont="1" applyBorder="1" applyAlignment="1">
      <alignment horizontal="center" vertical="top"/>
    </xf>
    <xf numFmtId="3" fontId="0" fillId="0" borderId="5" xfId="0" applyNumberFormat="1" applyBorder="1" applyAlignment="1">
      <alignment horizontal="center" vertical="top"/>
    </xf>
    <xf numFmtId="3" fontId="0" fillId="0" borderId="0" xfId="0" applyNumberFormat="1" applyAlignment="1">
      <alignment horizontal="center" vertical="top"/>
    </xf>
    <xf numFmtId="0" fontId="0" fillId="0" borderId="6" xfId="0" applyBorder="1" applyAlignment="1">
      <alignment vertical="top"/>
    </xf>
    <xf numFmtId="0" fontId="0" fillId="0" borderId="7" xfId="0" applyBorder="1" applyAlignment="1">
      <alignment vertical="top"/>
    </xf>
    <xf numFmtId="0" fontId="0" fillId="3" borderId="5" xfId="0" applyFill="1" applyBorder="1" applyAlignment="1">
      <alignment vertical="top"/>
    </xf>
    <xf numFmtId="0" fontId="0" fillId="3" borderId="0" xfId="0" applyFill="1"/>
    <xf numFmtId="0" fontId="0" fillId="4" borderId="0" xfId="0" applyFill="1"/>
    <xf numFmtId="0" fontId="0" fillId="4" borderId="3" xfId="0" applyFill="1" applyBorder="1" applyAlignment="1">
      <alignment vertical="top"/>
    </xf>
    <xf numFmtId="0" fontId="0" fillId="2" borderId="0" xfId="0" applyFill="1"/>
    <xf numFmtId="49" fontId="0" fillId="0" borderId="0" xfId="0" applyNumberFormat="1"/>
    <xf numFmtId="165" fontId="0" fillId="0" borderId="0" xfId="2" applyNumberFormat="1" applyFont="1"/>
    <xf numFmtId="2" fontId="0" fillId="4" borderId="3" xfId="0" applyNumberFormat="1" applyFill="1" applyBorder="1" applyAlignment="1">
      <alignment horizontal="center" vertical="top"/>
    </xf>
    <xf numFmtId="2" fontId="0" fillId="3" borderId="5" xfId="0" applyNumberFormat="1" applyFill="1" applyBorder="1" applyAlignment="1">
      <alignment horizontal="center" vertical="top"/>
    </xf>
    <xf numFmtId="2" fontId="0" fillId="3" borderId="0" xfId="0" applyNumberFormat="1" applyFill="1" applyAlignment="1">
      <alignment horizontal="center" vertical="top"/>
    </xf>
    <xf numFmtId="2" fontId="0" fillId="2" borderId="5" xfId="0" applyNumberFormat="1" applyFill="1" applyBorder="1" applyAlignment="1">
      <alignment horizontal="center" vertical="top"/>
    </xf>
    <xf numFmtId="2" fontId="0" fillId="2" borderId="0" xfId="0" applyNumberFormat="1" applyFill="1" applyAlignment="1">
      <alignment horizontal="center" vertical="top"/>
    </xf>
    <xf numFmtId="2" fontId="0" fillId="2" borderId="6" xfId="0" applyNumberFormat="1" applyFill="1" applyBorder="1" applyAlignment="1">
      <alignment horizontal="center" vertical="top"/>
    </xf>
    <xf numFmtId="2" fontId="0" fillId="2" borderId="7" xfId="0" applyNumberFormat="1" applyFill="1" applyBorder="1" applyAlignment="1">
      <alignment horizontal="center" vertical="top"/>
    </xf>
  </cellXfs>
  <cellStyles count="3">
    <cellStyle name="Comma" xfId="2" builtinId="3"/>
    <cellStyle name="Comma 2" xfId="1" xr:uid="{35E90CC9-E05E-4C34-BEDE-2ADB0208D0B9}"/>
    <cellStyle name="Normal" xfId="0" builtinId="0"/>
  </cellStyles>
  <dxfs count="0"/>
  <tableStyles count="0" defaultTableStyle="TableStyleMedium2" defaultPivotStyle="PivotStyleLight16"/>
  <colors>
    <mruColors>
      <color rgb="FFCCFFCC"/>
      <color rgb="FF90E1FA"/>
      <color rgb="FFFF99FF"/>
      <color rgb="FFFFCCFF"/>
      <color rgb="FFCCFFFF"/>
      <color rgb="FFFFFFCC"/>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6460E-45B0-424C-B00C-ED0A4B646B29}">
  <sheetPr>
    <tabColor rgb="FFCCFFCC"/>
  </sheetPr>
  <dimension ref="A1:D58"/>
  <sheetViews>
    <sheetView tabSelected="1" workbookViewId="0">
      <selection activeCell="B19" sqref="B19"/>
    </sheetView>
  </sheetViews>
  <sheetFormatPr defaultColWidth="9.07421875" defaultRowHeight="15" customHeight="1" x14ac:dyDescent="0.4"/>
  <cols>
    <col min="1" max="1" width="22.4609375" style="7" bestFit="1" customWidth="1"/>
    <col min="2" max="2" width="9.3046875" style="9" bestFit="1" customWidth="1"/>
    <col min="3" max="3" width="11.4609375" style="10" customWidth="1"/>
    <col min="4" max="16384" width="9.07421875" style="1"/>
  </cols>
  <sheetData>
    <row r="1" spans="1:4" s="5" customFormat="1" ht="15" customHeight="1" thickBot="1" x14ac:dyDescent="0.45">
      <c r="A1" s="2" t="s">
        <v>0</v>
      </c>
      <c r="B1" s="8" t="s">
        <v>1</v>
      </c>
      <c r="C1" s="3" t="s">
        <v>2</v>
      </c>
      <c r="D1" s="4"/>
    </row>
    <row r="2" spans="1:4" s="6" customFormat="1" ht="14.6" x14ac:dyDescent="0.4">
      <c r="A2" s="16" t="s">
        <v>3</v>
      </c>
      <c r="B2" s="20">
        <f>B7*Data!$L$58/(Data!$L$58+Data!$M$58)+'VALESOR VOLY VSL vQALY'!B8*Data!$M$58/(Data!$L$58+Data!$M$58)</f>
        <v>95770.065692551536</v>
      </c>
      <c r="C2" s="20">
        <f>C7*Data!$L$58/(Data!$L$58+Data!$M$58)+'VALESOR VOLY VSL vQALY'!C8*Data!$M$58/(Data!$L$58+Data!$M$58)</f>
        <v>3688168.7816651617</v>
      </c>
    </row>
    <row r="3" spans="1:4" ht="14.6" x14ac:dyDescent="0.4">
      <c r="A3" s="13" t="s">
        <v>191</v>
      </c>
      <c r="B3" s="21">
        <v>402931</v>
      </c>
      <c r="C3" s="22">
        <v>10435709</v>
      </c>
    </row>
    <row r="4" spans="1:4" ht="14.6" x14ac:dyDescent="0.4">
      <c r="A4" s="7" t="s">
        <v>4</v>
      </c>
      <c r="B4" s="23">
        <v>118700</v>
      </c>
      <c r="C4" s="24">
        <v>4570100</v>
      </c>
    </row>
    <row r="5" spans="1:4" ht="14.6" x14ac:dyDescent="0.4">
      <c r="A5" s="7" t="s">
        <v>5</v>
      </c>
      <c r="B5" s="23">
        <v>46600</v>
      </c>
      <c r="C5" s="24">
        <v>1796000</v>
      </c>
    </row>
    <row r="6" spans="1:4" ht="14.6" x14ac:dyDescent="0.4">
      <c r="A6" s="7" t="s">
        <v>6</v>
      </c>
      <c r="B6" s="23">
        <v>54800</v>
      </c>
      <c r="C6" s="24">
        <v>2108600</v>
      </c>
    </row>
    <row r="7" spans="1:4" ht="14.6" x14ac:dyDescent="0.4">
      <c r="A7" s="13" t="s">
        <v>7</v>
      </c>
      <c r="B7" s="21">
        <v>106100</v>
      </c>
      <c r="C7" s="22">
        <v>4085900</v>
      </c>
    </row>
    <row r="8" spans="1:4" ht="14.6" x14ac:dyDescent="0.4">
      <c r="A8" s="13" t="s">
        <v>8</v>
      </c>
      <c r="B8" s="21">
        <v>52200</v>
      </c>
      <c r="C8" s="22">
        <v>2010600</v>
      </c>
    </row>
    <row r="9" spans="1:4" s="12" customFormat="1" ht="15" customHeight="1" thickBot="1" x14ac:dyDescent="0.45">
      <c r="A9" s="11" t="s">
        <v>9</v>
      </c>
      <c r="B9" s="25">
        <v>175500</v>
      </c>
      <c r="C9" s="26">
        <v>6759200</v>
      </c>
    </row>
    <row r="10" spans="1:4" ht="14.6" x14ac:dyDescent="0.4">
      <c r="A10" s="7" t="s">
        <v>10</v>
      </c>
      <c r="B10" s="23">
        <v>146000</v>
      </c>
      <c r="C10" s="24">
        <v>5622200</v>
      </c>
    </row>
    <row r="11" spans="1:4" ht="14.6" x14ac:dyDescent="0.4">
      <c r="A11" s="7" t="s">
        <v>11</v>
      </c>
      <c r="B11" s="23">
        <v>140000</v>
      </c>
      <c r="C11" s="24">
        <v>5391300</v>
      </c>
    </row>
    <row r="12" spans="1:4" ht="14.6" x14ac:dyDescent="0.4">
      <c r="A12" s="7" t="s">
        <v>12</v>
      </c>
      <c r="B12" s="23">
        <v>68300</v>
      </c>
      <c r="C12" s="24">
        <v>2630000</v>
      </c>
    </row>
    <row r="13" spans="1:4" ht="14.6" x14ac:dyDescent="0.4">
      <c r="A13" s="7" t="s">
        <v>13</v>
      </c>
      <c r="B13" s="23">
        <v>78800</v>
      </c>
      <c r="C13" s="24">
        <v>3035400</v>
      </c>
    </row>
    <row r="14" spans="1:4" ht="14.6" x14ac:dyDescent="0.4">
      <c r="A14" s="7" t="s">
        <v>14</v>
      </c>
      <c r="B14" s="23">
        <v>108200</v>
      </c>
      <c r="C14" s="24">
        <v>4164900</v>
      </c>
    </row>
    <row r="15" spans="1:4" ht="14.6" x14ac:dyDescent="0.4">
      <c r="A15" s="7" t="s">
        <v>15</v>
      </c>
      <c r="B15" s="23">
        <v>111900</v>
      </c>
      <c r="C15" s="24">
        <v>4307600</v>
      </c>
    </row>
    <row r="16" spans="1:4" ht="14.6" x14ac:dyDescent="0.4">
      <c r="A16" s="13" t="s">
        <v>16</v>
      </c>
      <c r="B16" s="21">
        <v>384718</v>
      </c>
      <c r="C16" s="22">
        <v>9905057</v>
      </c>
    </row>
    <row r="17" spans="1:3" ht="14.6" x14ac:dyDescent="0.4">
      <c r="A17" s="7" t="s">
        <v>17</v>
      </c>
      <c r="B17" s="23">
        <v>101500</v>
      </c>
      <c r="C17" s="24">
        <v>3907300</v>
      </c>
    </row>
    <row r="18" spans="1:3" ht="14.6" x14ac:dyDescent="0.4">
      <c r="A18" s="13" t="s">
        <v>18</v>
      </c>
      <c r="B18" s="21">
        <v>308374</v>
      </c>
      <c r="C18" s="22">
        <v>7753380</v>
      </c>
    </row>
    <row r="19" spans="1:3" ht="14.6" x14ac:dyDescent="0.4">
      <c r="A19" s="7" t="s">
        <v>19</v>
      </c>
      <c r="B19" s="23">
        <v>123500</v>
      </c>
      <c r="C19" s="24">
        <v>4753600</v>
      </c>
    </row>
    <row r="20" spans="1:3" ht="14.6" x14ac:dyDescent="0.4">
      <c r="A20" s="7" t="s">
        <v>20</v>
      </c>
      <c r="B20" s="23">
        <v>146400</v>
      </c>
      <c r="C20" s="24">
        <v>5637800</v>
      </c>
    </row>
    <row r="21" spans="1:3" ht="14.6" x14ac:dyDescent="0.4">
      <c r="A21" s="7" t="s">
        <v>21</v>
      </c>
      <c r="B21" s="23">
        <v>73700</v>
      </c>
      <c r="C21" s="24">
        <v>2837200</v>
      </c>
    </row>
    <row r="22" spans="1:3" ht="14.6" x14ac:dyDescent="0.4">
      <c r="A22" s="7" t="s">
        <v>22</v>
      </c>
      <c r="B22" s="23">
        <v>88800</v>
      </c>
      <c r="C22" s="24">
        <v>3418500</v>
      </c>
    </row>
    <row r="23" spans="1:3" ht="14.6" x14ac:dyDescent="0.4">
      <c r="A23" s="7" t="s">
        <v>23</v>
      </c>
      <c r="B23" s="23">
        <v>244000</v>
      </c>
      <c r="C23" s="24">
        <v>9395400</v>
      </c>
    </row>
    <row r="24" spans="1:3" ht="14.6" x14ac:dyDescent="0.4">
      <c r="A24" s="7" t="s">
        <v>24</v>
      </c>
      <c r="B24" s="23">
        <v>110900</v>
      </c>
      <c r="C24" s="24">
        <v>4268900</v>
      </c>
    </row>
    <row r="25" spans="1:3" ht="14.6" x14ac:dyDescent="0.4">
      <c r="A25" s="7" t="s">
        <v>25</v>
      </c>
      <c r="B25" s="23">
        <v>81700</v>
      </c>
      <c r="C25" s="24">
        <v>3145400</v>
      </c>
    </row>
    <row r="26" spans="1:3" ht="14.6" x14ac:dyDescent="0.4">
      <c r="A26" s="7" t="s">
        <v>26</v>
      </c>
      <c r="B26" s="23">
        <v>103000</v>
      </c>
      <c r="C26" s="24">
        <v>3964000</v>
      </c>
    </row>
    <row r="27" spans="1:3" ht="14.6" x14ac:dyDescent="0.4">
      <c r="A27" s="7" t="s">
        <v>27</v>
      </c>
      <c r="B27" s="23">
        <v>304600</v>
      </c>
      <c r="C27" s="24">
        <v>11726700</v>
      </c>
    </row>
    <row r="28" spans="1:3" ht="14.6" x14ac:dyDescent="0.4">
      <c r="A28" s="7" t="s">
        <v>28</v>
      </c>
      <c r="B28" s="23">
        <v>124700</v>
      </c>
      <c r="C28" s="24">
        <v>4802100</v>
      </c>
    </row>
    <row r="29" spans="1:3" ht="14.6" x14ac:dyDescent="0.4">
      <c r="A29" s="7" t="s">
        <v>29</v>
      </c>
      <c r="B29" s="23">
        <v>156200</v>
      </c>
      <c r="C29" s="24">
        <v>6013600</v>
      </c>
    </row>
    <row r="30" spans="1:3" ht="14.6" x14ac:dyDescent="0.4">
      <c r="A30" s="7" t="s">
        <v>30</v>
      </c>
      <c r="B30" s="23">
        <v>92500</v>
      </c>
      <c r="C30" s="24">
        <v>3563100</v>
      </c>
    </row>
    <row r="31" spans="1:3" ht="14.6" x14ac:dyDescent="0.4">
      <c r="A31" s="7" t="s">
        <v>31</v>
      </c>
      <c r="B31" s="23">
        <v>89700</v>
      </c>
      <c r="C31" s="24">
        <v>3455300</v>
      </c>
    </row>
    <row r="32" spans="1:3" ht="14.6" x14ac:dyDescent="0.4">
      <c r="A32" s="7" t="s">
        <v>32</v>
      </c>
      <c r="B32" s="23">
        <v>85800</v>
      </c>
      <c r="C32" s="24">
        <v>3303400</v>
      </c>
    </row>
    <row r="33" spans="1:3" ht="14.6" x14ac:dyDescent="0.4">
      <c r="A33" s="7" t="s">
        <v>33</v>
      </c>
      <c r="B33" s="23">
        <v>88100</v>
      </c>
      <c r="C33" s="24">
        <v>3393900</v>
      </c>
    </row>
    <row r="34" spans="1:3" ht="14.6" x14ac:dyDescent="0.4">
      <c r="A34" s="7" t="s">
        <v>34</v>
      </c>
      <c r="B34" s="23">
        <v>104200</v>
      </c>
      <c r="C34" s="24">
        <v>4012500</v>
      </c>
    </row>
    <row r="35" spans="1:3" ht="14.6" x14ac:dyDescent="0.4">
      <c r="A35" s="7" t="s">
        <v>35</v>
      </c>
      <c r="B35" s="23">
        <v>98100</v>
      </c>
      <c r="C35" s="24">
        <v>3778200</v>
      </c>
    </row>
    <row r="36" spans="1:3" ht="14.6" x14ac:dyDescent="0.4">
      <c r="A36" s="13" t="s">
        <v>36</v>
      </c>
      <c r="B36" s="21">
        <v>346161</v>
      </c>
      <c r="C36" s="22">
        <v>9043688</v>
      </c>
    </row>
    <row r="37" spans="1:3" ht="14.6" x14ac:dyDescent="0.4">
      <c r="A37" s="7" t="s">
        <v>37</v>
      </c>
      <c r="B37" s="23">
        <v>120300</v>
      </c>
      <c r="C37" s="24">
        <v>4633400</v>
      </c>
    </row>
    <row r="38" spans="1:3" ht="14.6" x14ac:dyDescent="0.4">
      <c r="A38" s="13" t="s">
        <v>38</v>
      </c>
      <c r="B38" s="21">
        <v>357355</v>
      </c>
      <c r="C38" s="22">
        <v>9500711</v>
      </c>
    </row>
    <row r="39" spans="1:3" ht="14.6" x14ac:dyDescent="0.4">
      <c r="A39" s="13" t="s">
        <v>39</v>
      </c>
      <c r="B39" s="21">
        <v>630125</v>
      </c>
      <c r="C39" s="22">
        <v>16455153</v>
      </c>
    </row>
    <row r="40" spans="1:3" ht="14.6" x14ac:dyDescent="0.4">
      <c r="A40" s="7" t="s">
        <v>40</v>
      </c>
      <c r="B40" s="23">
        <v>182100</v>
      </c>
      <c r="C40" s="24">
        <v>7012800</v>
      </c>
    </row>
    <row r="41" spans="1:3" ht="14.6" x14ac:dyDescent="0.4">
      <c r="A41" s="7" t="s">
        <v>41</v>
      </c>
      <c r="B41" s="23">
        <v>71600</v>
      </c>
      <c r="C41" s="24">
        <v>2755200</v>
      </c>
    </row>
    <row r="42" spans="1:3" ht="14.6" x14ac:dyDescent="0.4">
      <c r="A42" s="7" t="s">
        <v>42</v>
      </c>
      <c r="B42" s="23">
        <v>36700</v>
      </c>
      <c r="C42" s="24">
        <v>1412800</v>
      </c>
    </row>
    <row r="43" spans="1:3" ht="14.6" x14ac:dyDescent="0.4">
      <c r="A43" s="7" t="s">
        <v>43</v>
      </c>
      <c r="B43" s="23">
        <v>37800</v>
      </c>
      <c r="C43" s="24">
        <v>1456800</v>
      </c>
    </row>
    <row r="44" spans="1:3" ht="14.6" x14ac:dyDescent="0.4">
      <c r="A44" s="7" t="s">
        <v>44</v>
      </c>
      <c r="B44" s="23">
        <v>62100</v>
      </c>
      <c r="C44" s="24">
        <v>2389400</v>
      </c>
    </row>
    <row r="45" spans="1:3" ht="14.6" x14ac:dyDescent="0.4">
      <c r="A45" s="7" t="s">
        <v>45</v>
      </c>
      <c r="B45" s="23">
        <v>41900</v>
      </c>
      <c r="C45" s="24">
        <v>1613100</v>
      </c>
    </row>
    <row r="46" spans="1:3" ht="14.6" x14ac:dyDescent="0.4">
      <c r="A46" s="7" t="s">
        <v>46</v>
      </c>
      <c r="B46" s="23">
        <v>72500</v>
      </c>
      <c r="C46" s="24">
        <v>2789800</v>
      </c>
    </row>
    <row r="47" spans="1:3" ht="14.6" x14ac:dyDescent="0.4">
      <c r="A47" s="7" t="s">
        <v>47</v>
      </c>
      <c r="B47" s="23">
        <v>12900</v>
      </c>
      <c r="C47" s="24">
        <v>497500</v>
      </c>
    </row>
    <row r="48" spans="1:3" ht="14.6" x14ac:dyDescent="0.4">
      <c r="A48" s="7" t="s">
        <v>48</v>
      </c>
      <c r="B48" s="23">
        <v>33800</v>
      </c>
      <c r="C48" s="24">
        <v>1299500</v>
      </c>
    </row>
    <row r="49" spans="1:3" ht="14.6" x14ac:dyDescent="0.4">
      <c r="A49" s="7" t="s">
        <v>49</v>
      </c>
      <c r="B49" s="23">
        <v>78600</v>
      </c>
      <c r="C49" s="24">
        <v>3025300</v>
      </c>
    </row>
    <row r="50" spans="1:3" ht="14.6" x14ac:dyDescent="0.4">
      <c r="A50" s="7" t="s">
        <v>50</v>
      </c>
      <c r="B50" s="23">
        <v>9100</v>
      </c>
      <c r="C50" s="24">
        <v>351000</v>
      </c>
    </row>
    <row r="51" spans="1:3" ht="14.6" x14ac:dyDescent="0.4">
      <c r="A51" s="7" t="s">
        <v>51</v>
      </c>
      <c r="B51" s="23">
        <v>37700</v>
      </c>
      <c r="C51" s="24">
        <v>1449800</v>
      </c>
    </row>
    <row r="52" spans="1:3" ht="14.6" x14ac:dyDescent="0.4">
      <c r="A52" s="7" t="s">
        <v>52</v>
      </c>
      <c r="B52" s="23">
        <v>38800</v>
      </c>
      <c r="C52" s="24">
        <v>1493000</v>
      </c>
    </row>
    <row r="53" spans="1:3" ht="14.6" x14ac:dyDescent="0.4">
      <c r="A53" s="7" t="s">
        <v>53</v>
      </c>
      <c r="B53" s="23">
        <v>21100</v>
      </c>
      <c r="C53" s="24">
        <v>812000</v>
      </c>
    </row>
    <row r="54" spans="1:3" ht="14.6" x14ac:dyDescent="0.4">
      <c r="A54" s="7" t="s">
        <v>54</v>
      </c>
      <c r="B54" s="23">
        <v>36200</v>
      </c>
      <c r="C54" s="24">
        <v>1394100</v>
      </c>
    </row>
    <row r="55" spans="1:3" ht="14.6" x14ac:dyDescent="0.4">
      <c r="A55" s="7" t="s">
        <v>55</v>
      </c>
      <c r="B55" s="23">
        <v>40800</v>
      </c>
      <c r="C55" s="24">
        <v>1572600</v>
      </c>
    </row>
    <row r="56" spans="1:3" ht="14.6" x14ac:dyDescent="0.4">
      <c r="A56" s="7" t="s">
        <v>56</v>
      </c>
      <c r="B56" s="23">
        <v>52000</v>
      </c>
      <c r="C56" s="24">
        <v>2000800</v>
      </c>
    </row>
    <row r="57" spans="1:3" ht="14.6" x14ac:dyDescent="0.4">
      <c r="A57" s="7" t="s">
        <v>57</v>
      </c>
      <c r="B57" s="23">
        <v>49800</v>
      </c>
      <c r="C57" s="24">
        <v>1917700</v>
      </c>
    </row>
    <row r="58" spans="1:3" ht="14.6" x14ac:dyDescent="0.4">
      <c r="A58" s="7" t="s">
        <v>58</v>
      </c>
      <c r="B58" s="23">
        <v>52400</v>
      </c>
      <c r="C58" s="24">
        <v>2018700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8B8A2-BF3A-470F-9237-679DFD2B1EC9}">
  <dimension ref="A1:F3"/>
  <sheetViews>
    <sheetView workbookViewId="0">
      <selection activeCell="D10" sqref="D10"/>
    </sheetView>
  </sheetViews>
  <sheetFormatPr defaultRowHeight="14.6" x14ac:dyDescent="0.4"/>
  <sheetData>
    <row r="1" spans="1:6" x14ac:dyDescent="0.4">
      <c r="A1" s="14" t="s">
        <v>59</v>
      </c>
      <c r="B1" s="14"/>
      <c r="C1" s="14"/>
      <c r="D1" s="14"/>
      <c r="E1" s="14"/>
      <c r="F1" s="14"/>
    </row>
    <row r="2" spans="1:6" x14ac:dyDescent="0.4">
      <c r="A2" s="17" t="s">
        <v>60</v>
      </c>
      <c r="B2" s="17"/>
      <c r="C2" s="17"/>
      <c r="D2" s="17"/>
      <c r="E2" s="17"/>
      <c r="F2" s="17"/>
    </row>
    <row r="3" spans="1:6" x14ac:dyDescent="0.4">
      <c r="A3" s="15" t="s">
        <v>61</v>
      </c>
      <c r="B3" s="15"/>
      <c r="C3" s="15"/>
      <c r="D3" s="15"/>
      <c r="E3" s="15"/>
      <c r="F3"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B86D4-CBD8-4B89-A9AA-CC8A373AFD75}">
  <dimension ref="A1:N76"/>
  <sheetViews>
    <sheetView topLeftCell="C7" workbookViewId="0">
      <selection activeCell="M58" sqref="M58"/>
    </sheetView>
  </sheetViews>
  <sheetFormatPr defaultRowHeight="14.6" x14ac:dyDescent="0.4"/>
  <cols>
    <col min="3" max="3" width="15.69140625" customWidth="1"/>
    <col min="5" max="5" width="16.765625" customWidth="1"/>
    <col min="6" max="6" width="11.3046875" customWidth="1"/>
    <col min="7" max="7" width="12" bestFit="1" customWidth="1"/>
    <col min="8" max="8" width="21.765625" customWidth="1"/>
    <col min="9" max="9" width="42.765625" bestFit="1" customWidth="1"/>
    <col min="10" max="10" width="15" customWidth="1"/>
    <col min="11" max="11" width="20.4609375" customWidth="1"/>
    <col min="12" max="12" width="14.84375" bestFit="1" customWidth="1"/>
    <col min="13" max="13" width="12" customWidth="1"/>
  </cols>
  <sheetData>
    <row r="1" spans="1:14" x14ac:dyDescent="0.4">
      <c r="A1" t="s">
        <v>126</v>
      </c>
      <c r="B1" s="18" t="s">
        <v>125</v>
      </c>
      <c r="C1" t="s">
        <v>124</v>
      </c>
      <c r="D1" s="18" t="s">
        <v>123</v>
      </c>
      <c r="E1" t="s">
        <v>122</v>
      </c>
      <c r="F1" t="s">
        <v>121</v>
      </c>
      <c r="H1" t="s">
        <v>183</v>
      </c>
      <c r="I1" t="s">
        <v>184</v>
      </c>
      <c r="J1" t="s">
        <v>7</v>
      </c>
      <c r="K1" t="s">
        <v>8</v>
      </c>
      <c r="L1" t="s">
        <v>7</v>
      </c>
      <c r="M1" t="s">
        <v>8</v>
      </c>
      <c r="N1" t="s">
        <v>190</v>
      </c>
    </row>
    <row r="2" spans="1:14" x14ac:dyDescent="0.4">
      <c r="A2">
        <v>2020</v>
      </c>
      <c r="B2" s="18" t="s">
        <v>65</v>
      </c>
      <c r="C2" t="s">
        <v>54</v>
      </c>
      <c r="D2" s="18" t="s">
        <v>120</v>
      </c>
      <c r="E2">
        <v>15241458744.592728</v>
      </c>
      <c r="F2">
        <v>2528480</v>
      </c>
      <c r="H2" t="s">
        <v>54</v>
      </c>
      <c r="J2">
        <v>1</v>
      </c>
      <c r="L2">
        <f>F2*J2</f>
        <v>2528480</v>
      </c>
      <c r="M2">
        <f>F2*K2</f>
        <v>0</v>
      </c>
    </row>
    <row r="3" spans="1:14" x14ac:dyDescent="0.4">
      <c r="A3">
        <v>2020</v>
      </c>
      <c r="B3" s="18" t="s">
        <v>65</v>
      </c>
      <c r="C3" t="s">
        <v>11</v>
      </c>
      <c r="D3" s="18" t="s">
        <v>119</v>
      </c>
      <c r="E3">
        <v>529694473501.79132</v>
      </c>
      <c r="F3">
        <v>11538604</v>
      </c>
      <c r="H3" t="s">
        <v>11</v>
      </c>
      <c r="J3">
        <v>1</v>
      </c>
      <c r="L3">
        <f t="shared" ref="L3:L57" si="0">F3*J3</f>
        <v>11538604</v>
      </c>
      <c r="M3">
        <f t="shared" ref="M3:M57" si="1">F3*K3</f>
        <v>0</v>
      </c>
    </row>
    <row r="4" spans="1:14" x14ac:dyDescent="0.4">
      <c r="A4">
        <v>2020</v>
      </c>
      <c r="B4" s="18" t="s">
        <v>65</v>
      </c>
      <c r="C4" t="s">
        <v>42</v>
      </c>
      <c r="D4" s="18" t="s">
        <v>118</v>
      </c>
      <c r="E4">
        <v>12641698583.215239</v>
      </c>
      <c r="F4">
        <v>2961500</v>
      </c>
      <c r="H4" t="s">
        <v>42</v>
      </c>
      <c r="K4">
        <v>1</v>
      </c>
      <c r="L4">
        <f t="shared" si="0"/>
        <v>0</v>
      </c>
      <c r="M4">
        <f t="shared" si="1"/>
        <v>2961500</v>
      </c>
    </row>
    <row r="5" spans="1:14" x14ac:dyDescent="0.4">
      <c r="A5">
        <v>2020</v>
      </c>
      <c r="B5" s="18" t="s">
        <v>65</v>
      </c>
      <c r="C5" t="s">
        <v>43</v>
      </c>
      <c r="D5" s="18" t="s">
        <v>117</v>
      </c>
      <c r="E5">
        <v>42693000000</v>
      </c>
      <c r="F5">
        <v>10093121</v>
      </c>
      <c r="H5" t="s">
        <v>43</v>
      </c>
      <c r="K5">
        <v>1</v>
      </c>
      <c r="L5">
        <f t="shared" si="0"/>
        <v>0</v>
      </c>
      <c r="M5">
        <f t="shared" si="1"/>
        <v>10093121</v>
      </c>
    </row>
    <row r="6" spans="1:14" x14ac:dyDescent="0.4">
      <c r="A6">
        <v>2020</v>
      </c>
      <c r="B6" s="18" t="s">
        <v>65</v>
      </c>
      <c r="C6" t="s">
        <v>12</v>
      </c>
      <c r="D6" s="18" t="s">
        <v>116</v>
      </c>
      <c r="E6">
        <v>70486877546.490097</v>
      </c>
      <c r="F6">
        <v>6550696</v>
      </c>
      <c r="H6" t="s">
        <v>12</v>
      </c>
      <c r="J6">
        <v>1</v>
      </c>
      <c r="L6">
        <f t="shared" si="0"/>
        <v>6550696</v>
      </c>
      <c r="M6">
        <f t="shared" si="1"/>
        <v>0</v>
      </c>
    </row>
    <row r="7" spans="1:14" x14ac:dyDescent="0.4">
      <c r="A7">
        <v>2020</v>
      </c>
      <c r="B7" s="18" t="s">
        <v>65</v>
      </c>
      <c r="C7" t="s">
        <v>115</v>
      </c>
      <c r="D7" s="18" t="s">
        <v>114</v>
      </c>
      <c r="E7">
        <v>251109660602.53552</v>
      </c>
      <c r="F7">
        <v>10697858</v>
      </c>
      <c r="H7" t="s">
        <v>15</v>
      </c>
      <c r="J7">
        <v>1</v>
      </c>
      <c r="L7">
        <f t="shared" si="0"/>
        <v>10697858</v>
      </c>
      <c r="M7">
        <f t="shared" si="1"/>
        <v>0</v>
      </c>
    </row>
    <row r="8" spans="1:14" x14ac:dyDescent="0.4">
      <c r="A8">
        <v>2020</v>
      </c>
      <c r="B8" s="18" t="s">
        <v>65</v>
      </c>
      <c r="C8" t="s">
        <v>13</v>
      </c>
      <c r="D8" s="18" t="s">
        <v>113</v>
      </c>
      <c r="E8">
        <v>57959843541.369934</v>
      </c>
      <c r="F8">
        <v>3914206</v>
      </c>
      <c r="H8" t="s">
        <v>13</v>
      </c>
      <c r="J8">
        <v>1</v>
      </c>
      <c r="L8">
        <f t="shared" si="0"/>
        <v>3914206</v>
      </c>
      <c r="M8">
        <f t="shared" si="1"/>
        <v>0</v>
      </c>
    </row>
    <row r="9" spans="1:14" x14ac:dyDescent="0.4">
      <c r="A9">
        <v>2020</v>
      </c>
      <c r="B9" s="18" t="s">
        <v>65</v>
      </c>
      <c r="C9" t="s">
        <v>17</v>
      </c>
      <c r="D9" s="18" t="s">
        <v>112</v>
      </c>
      <c r="E9">
        <v>31820771493.897366</v>
      </c>
      <c r="F9">
        <v>1329522</v>
      </c>
      <c r="H9" t="s">
        <v>17</v>
      </c>
      <c r="J9">
        <v>1</v>
      </c>
      <c r="L9">
        <f t="shared" si="0"/>
        <v>1329522</v>
      </c>
      <c r="M9">
        <f t="shared" si="1"/>
        <v>0</v>
      </c>
    </row>
    <row r="10" spans="1:14" x14ac:dyDescent="0.4">
      <c r="A10">
        <v>2020</v>
      </c>
      <c r="B10" s="18" t="s">
        <v>65</v>
      </c>
      <c r="C10" t="s">
        <v>18</v>
      </c>
      <c r="D10" s="18" t="s">
        <v>111</v>
      </c>
      <c r="E10">
        <v>270000311606.22644</v>
      </c>
      <c r="F10">
        <v>5529543</v>
      </c>
      <c r="H10" t="s">
        <v>18</v>
      </c>
      <c r="J10">
        <v>1</v>
      </c>
      <c r="L10">
        <f t="shared" si="0"/>
        <v>5529543</v>
      </c>
      <c r="M10">
        <f t="shared" si="1"/>
        <v>0</v>
      </c>
    </row>
    <row r="11" spans="1:14" x14ac:dyDescent="0.4">
      <c r="A11">
        <v>2020</v>
      </c>
      <c r="B11" s="18" t="s">
        <v>65</v>
      </c>
      <c r="C11" t="s">
        <v>45</v>
      </c>
      <c r="D11" s="18" t="s">
        <v>110</v>
      </c>
      <c r="E11">
        <v>16010869215.679968</v>
      </c>
      <c r="F11">
        <v>3722716</v>
      </c>
      <c r="H11" t="s">
        <v>45</v>
      </c>
      <c r="K11">
        <v>1</v>
      </c>
      <c r="L11">
        <f t="shared" si="0"/>
        <v>0</v>
      </c>
      <c r="M11">
        <f t="shared" si="1"/>
        <v>3722716</v>
      </c>
    </row>
    <row r="12" spans="1:14" x14ac:dyDescent="0.4">
      <c r="A12">
        <v>2020</v>
      </c>
      <c r="B12" s="18" t="s">
        <v>65</v>
      </c>
      <c r="C12" t="s">
        <v>109</v>
      </c>
      <c r="D12" s="18" t="s">
        <v>108</v>
      </c>
      <c r="E12">
        <v>6684225641.0256405</v>
      </c>
      <c r="F12">
        <v>84064</v>
      </c>
      <c r="I12" t="s">
        <v>188</v>
      </c>
      <c r="J12">
        <v>1</v>
      </c>
      <c r="L12">
        <f t="shared" si="0"/>
        <v>84064</v>
      </c>
      <c r="M12">
        <f t="shared" si="1"/>
        <v>0</v>
      </c>
    </row>
    <row r="13" spans="1:14" x14ac:dyDescent="0.4">
      <c r="A13">
        <v>2020</v>
      </c>
      <c r="B13" s="18" t="s">
        <v>65</v>
      </c>
      <c r="C13" t="s">
        <v>46</v>
      </c>
      <c r="D13" s="18" t="s">
        <v>107</v>
      </c>
      <c r="E13">
        <v>171082365861.42291</v>
      </c>
      <c r="F13">
        <v>19482117</v>
      </c>
      <c r="H13" t="s">
        <v>46</v>
      </c>
      <c r="K13">
        <v>1</v>
      </c>
      <c r="L13">
        <f t="shared" si="0"/>
        <v>0</v>
      </c>
      <c r="M13">
        <f t="shared" si="1"/>
        <v>19482117</v>
      </c>
    </row>
    <row r="14" spans="1:14" x14ac:dyDescent="0.4">
      <c r="A14">
        <v>2020</v>
      </c>
      <c r="B14" s="18" t="s">
        <v>65</v>
      </c>
      <c r="C14" t="s">
        <v>106</v>
      </c>
      <c r="D14" s="18" t="s">
        <v>105</v>
      </c>
      <c r="E14">
        <v>8270468614.2405109</v>
      </c>
      <c r="F14">
        <v>6726596</v>
      </c>
      <c r="H14" t="s">
        <v>47</v>
      </c>
      <c r="K14">
        <v>1</v>
      </c>
      <c r="L14">
        <f t="shared" si="0"/>
        <v>0</v>
      </c>
      <c r="M14">
        <f t="shared" si="1"/>
        <v>6726596</v>
      </c>
    </row>
    <row r="15" spans="1:14" x14ac:dyDescent="0.4">
      <c r="A15">
        <v>2020</v>
      </c>
      <c r="B15" s="18" t="s">
        <v>65</v>
      </c>
      <c r="C15" t="s">
        <v>27</v>
      </c>
      <c r="D15" s="18" t="s">
        <v>104</v>
      </c>
      <c r="E15">
        <v>73670782100.390869</v>
      </c>
      <c r="F15">
        <v>630419</v>
      </c>
      <c r="H15" t="s">
        <v>27</v>
      </c>
      <c r="J15">
        <v>1</v>
      </c>
      <c r="L15">
        <f t="shared" si="0"/>
        <v>630419</v>
      </c>
      <c r="M15">
        <f t="shared" si="1"/>
        <v>0</v>
      </c>
    </row>
    <row r="16" spans="1:14" x14ac:dyDescent="0.4">
      <c r="A16">
        <v>2020</v>
      </c>
      <c r="B16" s="18" t="s">
        <v>65</v>
      </c>
      <c r="C16" t="s">
        <v>29</v>
      </c>
      <c r="D16" s="18" t="s">
        <v>103</v>
      </c>
      <c r="E16">
        <v>932560861701.16992</v>
      </c>
      <c r="F16">
        <v>17441500</v>
      </c>
      <c r="H16" t="s">
        <v>29</v>
      </c>
      <c r="J16">
        <v>1</v>
      </c>
      <c r="L16">
        <f t="shared" si="0"/>
        <v>17441500</v>
      </c>
      <c r="M16">
        <f t="shared" si="1"/>
        <v>0</v>
      </c>
    </row>
    <row r="17" spans="1:13" x14ac:dyDescent="0.4">
      <c r="A17">
        <v>2020</v>
      </c>
      <c r="B17" s="18" t="s">
        <v>65</v>
      </c>
      <c r="C17" t="s">
        <v>39</v>
      </c>
      <c r="D17" s="18" t="s">
        <v>102</v>
      </c>
      <c r="E17">
        <v>367633418886.62726</v>
      </c>
      <c r="F17">
        <v>5379475</v>
      </c>
      <c r="H17" t="s">
        <v>39</v>
      </c>
      <c r="J17">
        <v>1</v>
      </c>
      <c r="L17">
        <f t="shared" si="0"/>
        <v>5379475</v>
      </c>
      <c r="M17">
        <f t="shared" si="1"/>
        <v>0</v>
      </c>
    </row>
    <row r="18" spans="1:13" x14ac:dyDescent="0.4">
      <c r="A18">
        <v>2020</v>
      </c>
      <c r="B18" s="18" t="s">
        <v>65</v>
      </c>
      <c r="C18" t="s">
        <v>31</v>
      </c>
      <c r="D18" s="18" t="s">
        <v>101</v>
      </c>
      <c r="E18">
        <v>229618773422.57651</v>
      </c>
      <c r="F18">
        <v>10297081</v>
      </c>
      <c r="H18" t="s">
        <v>31</v>
      </c>
      <c r="J18">
        <v>1</v>
      </c>
      <c r="L18">
        <f t="shared" si="0"/>
        <v>10297081</v>
      </c>
      <c r="M18">
        <f t="shared" si="1"/>
        <v>0</v>
      </c>
    </row>
    <row r="19" spans="1:13" x14ac:dyDescent="0.4">
      <c r="A19">
        <v>2020</v>
      </c>
      <c r="B19" s="18" t="s">
        <v>65</v>
      </c>
      <c r="C19" t="s">
        <v>100</v>
      </c>
      <c r="D19" s="18" t="s">
        <v>99</v>
      </c>
      <c r="E19">
        <v>1493075894362.1426</v>
      </c>
      <c r="F19">
        <v>145245148</v>
      </c>
      <c r="H19" t="s">
        <v>49</v>
      </c>
      <c r="J19">
        <v>1</v>
      </c>
      <c r="L19">
        <f t="shared" si="0"/>
        <v>145245148</v>
      </c>
      <c r="M19">
        <f t="shared" si="1"/>
        <v>0</v>
      </c>
    </row>
    <row r="20" spans="1:13" x14ac:dyDescent="0.4">
      <c r="A20">
        <v>2020</v>
      </c>
      <c r="B20" s="18" t="s">
        <v>65</v>
      </c>
      <c r="C20" t="s">
        <v>58</v>
      </c>
      <c r="D20" s="18" t="s">
        <v>98</v>
      </c>
      <c r="E20">
        <v>55874017668.998001</v>
      </c>
      <c r="F20">
        <v>6899126</v>
      </c>
      <c r="H20" t="s">
        <v>58</v>
      </c>
      <c r="J20">
        <v>1</v>
      </c>
      <c r="L20">
        <f t="shared" si="0"/>
        <v>6899126</v>
      </c>
      <c r="M20">
        <f t="shared" si="1"/>
        <v>0</v>
      </c>
    </row>
    <row r="21" spans="1:13" x14ac:dyDescent="0.4">
      <c r="A21">
        <v>2020</v>
      </c>
      <c r="B21" s="18" t="s">
        <v>65</v>
      </c>
      <c r="C21" t="s">
        <v>34</v>
      </c>
      <c r="D21" s="18" t="s">
        <v>97</v>
      </c>
      <c r="E21">
        <v>53384760135.158127</v>
      </c>
      <c r="F21">
        <v>2102419</v>
      </c>
      <c r="H21" t="s">
        <v>34</v>
      </c>
      <c r="J21">
        <v>1</v>
      </c>
      <c r="L21">
        <f t="shared" si="0"/>
        <v>2102419</v>
      </c>
      <c r="M21">
        <f t="shared" si="1"/>
        <v>0</v>
      </c>
    </row>
    <row r="22" spans="1:13" x14ac:dyDescent="0.4">
      <c r="A22">
        <v>2020</v>
      </c>
      <c r="B22" s="18" t="s">
        <v>65</v>
      </c>
      <c r="C22" t="s">
        <v>36</v>
      </c>
      <c r="D22" s="18" t="s">
        <v>96</v>
      </c>
      <c r="E22">
        <v>544265668451.6781</v>
      </c>
      <c r="F22">
        <v>10353442</v>
      </c>
      <c r="H22" t="s">
        <v>36</v>
      </c>
      <c r="J22">
        <v>1</v>
      </c>
      <c r="L22">
        <f t="shared" si="0"/>
        <v>10353442</v>
      </c>
      <c r="M22">
        <f t="shared" si="1"/>
        <v>0</v>
      </c>
    </row>
    <row r="23" spans="1:13" x14ac:dyDescent="0.4">
      <c r="A23">
        <v>2020</v>
      </c>
      <c r="B23" s="18" t="s">
        <v>65</v>
      </c>
      <c r="C23" t="s">
        <v>50</v>
      </c>
      <c r="D23" s="18" t="s">
        <v>95</v>
      </c>
      <c r="E23">
        <v>8133963550.6574249</v>
      </c>
      <c r="F23">
        <v>9749310</v>
      </c>
      <c r="H23" t="s">
        <v>50</v>
      </c>
      <c r="K23">
        <v>1</v>
      </c>
      <c r="L23">
        <f t="shared" si="0"/>
        <v>0</v>
      </c>
      <c r="M23">
        <f t="shared" si="1"/>
        <v>9749310</v>
      </c>
    </row>
    <row r="24" spans="1:13" x14ac:dyDescent="0.4">
      <c r="A24">
        <v>2020</v>
      </c>
      <c r="B24" s="18" t="s">
        <v>65</v>
      </c>
      <c r="C24" t="s">
        <v>51</v>
      </c>
      <c r="D24" s="18" t="s">
        <v>94</v>
      </c>
      <c r="E24">
        <v>41509903181.723083</v>
      </c>
      <c r="F24">
        <v>6949912</v>
      </c>
      <c r="H24" t="s">
        <v>51</v>
      </c>
      <c r="K24">
        <v>1</v>
      </c>
      <c r="L24">
        <f t="shared" si="0"/>
        <v>0</v>
      </c>
      <c r="M24">
        <f t="shared" si="1"/>
        <v>6949912</v>
      </c>
    </row>
    <row r="25" spans="1:13" x14ac:dyDescent="0.4">
      <c r="A25">
        <v>2020</v>
      </c>
      <c r="B25" s="18" t="s">
        <v>65</v>
      </c>
      <c r="C25" t="s">
        <v>37</v>
      </c>
      <c r="D25" s="18" t="s">
        <v>93</v>
      </c>
      <c r="E25">
        <v>2724001478304.5908</v>
      </c>
      <c r="F25">
        <v>66744000</v>
      </c>
      <c r="H25" t="s">
        <v>37</v>
      </c>
      <c r="I25" t="s">
        <v>188</v>
      </c>
      <c r="J25">
        <v>1</v>
      </c>
      <c r="L25">
        <f t="shared" si="0"/>
        <v>66744000</v>
      </c>
      <c r="M25">
        <f t="shared" si="1"/>
        <v>0</v>
      </c>
    </row>
    <row r="26" spans="1:13" x14ac:dyDescent="0.4">
      <c r="A26">
        <v>2020</v>
      </c>
      <c r="B26" s="18" t="s">
        <v>65</v>
      </c>
      <c r="C26" t="s">
        <v>53</v>
      </c>
      <c r="D26" s="18" t="s">
        <v>92</v>
      </c>
      <c r="E26">
        <v>66443265418.308647</v>
      </c>
      <c r="F26">
        <v>33586372</v>
      </c>
      <c r="H26" t="s">
        <v>53</v>
      </c>
      <c r="K26">
        <v>1</v>
      </c>
      <c r="L26">
        <f t="shared" si="0"/>
        <v>0</v>
      </c>
      <c r="M26">
        <f t="shared" si="1"/>
        <v>33586372</v>
      </c>
    </row>
    <row r="27" spans="1:13" x14ac:dyDescent="0.4">
      <c r="A27">
        <v>2020</v>
      </c>
      <c r="B27" s="18" t="s">
        <v>65</v>
      </c>
      <c r="C27" t="s">
        <v>52</v>
      </c>
      <c r="D27" s="18" t="s">
        <v>91</v>
      </c>
      <c r="E27">
        <v>156617722013.34219</v>
      </c>
      <c r="F27">
        <v>44680014</v>
      </c>
      <c r="H27" t="s">
        <v>52</v>
      </c>
      <c r="J27">
        <v>1</v>
      </c>
      <c r="L27">
        <f t="shared" si="0"/>
        <v>44680014</v>
      </c>
      <c r="M27">
        <f t="shared" si="1"/>
        <v>0</v>
      </c>
    </row>
    <row r="28" spans="1:13" x14ac:dyDescent="0.4">
      <c r="A28">
        <v>2020</v>
      </c>
      <c r="B28" s="18" t="s">
        <v>65</v>
      </c>
      <c r="C28" t="s">
        <v>90</v>
      </c>
      <c r="D28" s="18" t="s">
        <v>89</v>
      </c>
      <c r="E28">
        <v>733628247119.07715</v>
      </c>
      <c r="F28">
        <v>83384680</v>
      </c>
      <c r="H28" t="s">
        <v>41</v>
      </c>
      <c r="K28">
        <v>1</v>
      </c>
      <c r="L28">
        <f t="shared" si="0"/>
        <v>0</v>
      </c>
      <c r="M28">
        <f t="shared" si="1"/>
        <v>83384680</v>
      </c>
    </row>
    <row r="29" spans="1:13" x14ac:dyDescent="0.4">
      <c r="A29">
        <v>2020</v>
      </c>
      <c r="B29" s="18" t="s">
        <v>65</v>
      </c>
      <c r="C29" t="s">
        <v>40</v>
      </c>
      <c r="D29" s="18" t="s">
        <v>88</v>
      </c>
      <c r="E29">
        <v>741999406005.6272</v>
      </c>
      <c r="F29">
        <v>8638167</v>
      </c>
      <c r="H29" t="s">
        <v>40</v>
      </c>
      <c r="J29">
        <v>1</v>
      </c>
      <c r="L29">
        <f t="shared" si="0"/>
        <v>8638167</v>
      </c>
      <c r="M29">
        <f t="shared" si="1"/>
        <v>0</v>
      </c>
    </row>
    <row r="30" spans="1:13" x14ac:dyDescent="0.4">
      <c r="A30">
        <v>2020</v>
      </c>
      <c r="B30" s="18" t="s">
        <v>65</v>
      </c>
      <c r="C30" t="s">
        <v>35</v>
      </c>
      <c r="D30" s="18" t="s">
        <v>87</v>
      </c>
      <c r="E30">
        <v>1289783836971.2097</v>
      </c>
      <c r="F30">
        <v>47359424</v>
      </c>
      <c r="H30" t="s">
        <v>35</v>
      </c>
      <c r="J30">
        <v>1</v>
      </c>
      <c r="L30">
        <f t="shared" si="0"/>
        <v>47359424</v>
      </c>
      <c r="M30">
        <f t="shared" si="1"/>
        <v>0</v>
      </c>
    </row>
    <row r="31" spans="1:13" x14ac:dyDescent="0.4">
      <c r="A31">
        <v>2020</v>
      </c>
      <c r="B31" s="18" t="s">
        <v>65</v>
      </c>
      <c r="C31" t="s">
        <v>33</v>
      </c>
      <c r="D31" s="18" t="s">
        <v>86</v>
      </c>
      <c r="E31">
        <v>107732602896.44077</v>
      </c>
      <c r="F31">
        <v>5458827</v>
      </c>
      <c r="H31" t="s">
        <v>33</v>
      </c>
      <c r="J31">
        <v>1</v>
      </c>
      <c r="L31">
        <f t="shared" si="0"/>
        <v>5458827</v>
      </c>
      <c r="M31">
        <f t="shared" si="1"/>
        <v>0</v>
      </c>
    </row>
    <row r="32" spans="1:13" x14ac:dyDescent="0.4">
      <c r="A32">
        <v>2020</v>
      </c>
      <c r="B32" s="18" t="s">
        <v>65</v>
      </c>
      <c r="C32" t="s">
        <v>32</v>
      </c>
      <c r="D32" s="18" t="s">
        <v>85</v>
      </c>
      <c r="E32">
        <v>250625048303.57831</v>
      </c>
      <c r="F32">
        <v>19265250</v>
      </c>
      <c r="H32" t="s">
        <v>32</v>
      </c>
      <c r="J32">
        <v>1</v>
      </c>
      <c r="L32">
        <f t="shared" si="0"/>
        <v>19265250</v>
      </c>
      <c r="M32">
        <f t="shared" si="1"/>
        <v>0</v>
      </c>
    </row>
    <row r="33" spans="1:13" x14ac:dyDescent="0.4">
      <c r="A33">
        <v>2020</v>
      </c>
      <c r="B33" s="18" t="s">
        <v>65</v>
      </c>
      <c r="C33" t="s">
        <v>30</v>
      </c>
      <c r="D33" s="18" t="s">
        <v>84</v>
      </c>
      <c r="E33">
        <v>605914237903.74219</v>
      </c>
      <c r="F33">
        <v>37515748</v>
      </c>
      <c r="H33" t="s">
        <v>30</v>
      </c>
      <c r="J33">
        <v>1</v>
      </c>
      <c r="L33">
        <f t="shared" si="0"/>
        <v>37515748</v>
      </c>
      <c r="M33">
        <f t="shared" si="1"/>
        <v>0</v>
      </c>
    </row>
    <row r="34" spans="1:13" x14ac:dyDescent="0.4">
      <c r="A34">
        <v>2020</v>
      </c>
      <c r="B34" s="18" t="s">
        <v>65</v>
      </c>
      <c r="C34" t="s">
        <v>57</v>
      </c>
      <c r="D34" s="18" t="s">
        <v>83</v>
      </c>
      <c r="E34">
        <v>12361036913.840923</v>
      </c>
      <c r="F34">
        <v>1856124</v>
      </c>
      <c r="H34" t="s">
        <v>57</v>
      </c>
      <c r="J34">
        <v>1</v>
      </c>
      <c r="L34">
        <f t="shared" si="0"/>
        <v>1856124</v>
      </c>
      <c r="M34">
        <f t="shared" si="1"/>
        <v>0</v>
      </c>
    </row>
    <row r="35" spans="1:13" x14ac:dyDescent="0.4">
      <c r="A35">
        <v>2020</v>
      </c>
      <c r="B35" s="18" t="s">
        <v>65</v>
      </c>
      <c r="C35" t="s">
        <v>56</v>
      </c>
      <c r="D35" s="18" t="s">
        <v>82</v>
      </c>
      <c r="E35">
        <v>4723571497.7634687</v>
      </c>
      <c r="F35">
        <v>626590</v>
      </c>
      <c r="H35" t="s">
        <v>56</v>
      </c>
      <c r="J35">
        <v>1</v>
      </c>
      <c r="L35">
        <f t="shared" si="0"/>
        <v>626590</v>
      </c>
      <c r="M35">
        <f t="shared" si="1"/>
        <v>0</v>
      </c>
    </row>
    <row r="36" spans="1:13" x14ac:dyDescent="0.4">
      <c r="A36">
        <v>2020</v>
      </c>
      <c r="B36" s="18" t="s">
        <v>65</v>
      </c>
      <c r="C36" t="s">
        <v>81</v>
      </c>
      <c r="D36" s="18" t="s">
        <v>80</v>
      </c>
      <c r="E36">
        <v>11530746234.449179</v>
      </c>
      <c r="F36">
        <v>2635130</v>
      </c>
      <c r="H36" t="s">
        <v>48</v>
      </c>
      <c r="J36">
        <v>1</v>
      </c>
      <c r="L36">
        <f t="shared" si="0"/>
        <v>2635130</v>
      </c>
      <c r="M36">
        <f t="shared" si="1"/>
        <v>0</v>
      </c>
    </row>
    <row r="37" spans="1:13" x14ac:dyDescent="0.4">
      <c r="A37">
        <v>2020</v>
      </c>
      <c r="B37" s="18" t="s">
        <v>65</v>
      </c>
      <c r="C37" t="s">
        <v>26</v>
      </c>
      <c r="D37" s="18" t="s">
        <v>79</v>
      </c>
      <c r="E37">
        <v>57412038533.271751</v>
      </c>
      <c r="F37">
        <v>2810369</v>
      </c>
      <c r="H37" t="s">
        <v>26</v>
      </c>
      <c r="J37">
        <v>1</v>
      </c>
      <c r="L37">
        <f t="shared" si="0"/>
        <v>2810369</v>
      </c>
      <c r="M37">
        <f t="shared" si="1"/>
        <v>0</v>
      </c>
    </row>
    <row r="38" spans="1:13" x14ac:dyDescent="0.4">
      <c r="A38">
        <v>2020</v>
      </c>
      <c r="B38" s="18" t="s">
        <v>65</v>
      </c>
      <c r="C38" t="s">
        <v>25</v>
      </c>
      <c r="D38" s="18" t="s">
        <v>78</v>
      </c>
      <c r="E38">
        <v>33379927434.61488</v>
      </c>
      <c r="F38">
        <v>1900449</v>
      </c>
      <c r="H38" t="s">
        <v>25</v>
      </c>
      <c r="J38">
        <v>1</v>
      </c>
      <c r="L38">
        <f t="shared" si="0"/>
        <v>1900449</v>
      </c>
      <c r="M38">
        <f t="shared" si="1"/>
        <v>0</v>
      </c>
    </row>
    <row r="39" spans="1:13" x14ac:dyDescent="0.4">
      <c r="A39">
        <v>2020</v>
      </c>
      <c r="B39" s="18" t="s">
        <v>65</v>
      </c>
      <c r="C39" t="s">
        <v>77</v>
      </c>
      <c r="D39" s="18" t="s">
        <v>76</v>
      </c>
      <c r="E39">
        <v>7717143395.5473242</v>
      </c>
      <c r="F39">
        <v>1790151</v>
      </c>
      <c r="L39">
        <f t="shared" si="0"/>
        <v>0</v>
      </c>
      <c r="M39">
        <f t="shared" si="1"/>
        <v>0</v>
      </c>
    </row>
    <row r="40" spans="1:13" x14ac:dyDescent="0.4">
      <c r="A40">
        <v>2020</v>
      </c>
      <c r="B40" s="18" t="s">
        <v>65</v>
      </c>
      <c r="C40" t="s">
        <v>24</v>
      </c>
      <c r="D40" s="18" t="s">
        <v>75</v>
      </c>
      <c r="E40">
        <v>1907481094079.2271</v>
      </c>
      <c r="F40">
        <v>59438851</v>
      </c>
      <c r="H40" t="s">
        <v>24</v>
      </c>
      <c r="J40">
        <v>1</v>
      </c>
      <c r="L40">
        <f t="shared" si="0"/>
        <v>59438851</v>
      </c>
      <c r="M40">
        <f t="shared" si="1"/>
        <v>0</v>
      </c>
    </row>
    <row r="41" spans="1:13" x14ac:dyDescent="0.4">
      <c r="A41">
        <v>2020</v>
      </c>
      <c r="B41" s="18" t="s">
        <v>65</v>
      </c>
      <c r="C41" t="s">
        <v>23</v>
      </c>
      <c r="D41" s="18" t="s">
        <v>74</v>
      </c>
      <c r="E41">
        <v>436009027818.94751</v>
      </c>
      <c r="F41">
        <v>5039747</v>
      </c>
      <c r="H41" t="s">
        <v>23</v>
      </c>
      <c r="J41">
        <v>1</v>
      </c>
      <c r="L41">
        <f t="shared" si="0"/>
        <v>5039747</v>
      </c>
      <c r="M41">
        <f t="shared" si="1"/>
        <v>0</v>
      </c>
    </row>
    <row r="42" spans="1:13" x14ac:dyDescent="0.4">
      <c r="A42">
        <v>2020</v>
      </c>
      <c r="B42" s="18" t="s">
        <v>65</v>
      </c>
      <c r="C42" t="s">
        <v>21</v>
      </c>
      <c r="D42" s="18" t="s">
        <v>73</v>
      </c>
      <c r="E42">
        <v>191362985554.86124</v>
      </c>
      <c r="F42">
        <v>10698599</v>
      </c>
      <c r="H42" t="s">
        <v>21</v>
      </c>
      <c r="J42">
        <v>1</v>
      </c>
      <c r="L42">
        <f t="shared" si="0"/>
        <v>10698599</v>
      </c>
      <c r="M42">
        <f t="shared" si="1"/>
        <v>0</v>
      </c>
    </row>
    <row r="43" spans="1:13" x14ac:dyDescent="0.4">
      <c r="A43">
        <v>2020</v>
      </c>
      <c r="B43" s="18" t="s">
        <v>65</v>
      </c>
      <c r="C43" t="s">
        <v>22</v>
      </c>
      <c r="D43" s="18" t="s">
        <v>72</v>
      </c>
      <c r="E43">
        <v>158468487754.19629</v>
      </c>
      <c r="F43">
        <v>9670419</v>
      </c>
      <c r="H43" t="s">
        <v>22</v>
      </c>
      <c r="J43">
        <v>1</v>
      </c>
      <c r="L43">
        <f t="shared" si="0"/>
        <v>9670419</v>
      </c>
      <c r="M43">
        <f t="shared" si="1"/>
        <v>0</v>
      </c>
    </row>
    <row r="44" spans="1:13" x14ac:dyDescent="0.4">
      <c r="A44">
        <v>2020</v>
      </c>
      <c r="B44" s="18" t="s">
        <v>65</v>
      </c>
      <c r="C44" t="s">
        <v>20</v>
      </c>
      <c r="D44" s="18" t="s">
        <v>71</v>
      </c>
      <c r="E44">
        <v>3941398957073.9409</v>
      </c>
      <c r="F44">
        <v>83160871</v>
      </c>
      <c r="H44" t="s">
        <v>20</v>
      </c>
      <c r="J44">
        <v>1</v>
      </c>
      <c r="L44">
        <f t="shared" si="0"/>
        <v>83160871</v>
      </c>
      <c r="M44">
        <f t="shared" si="1"/>
        <v>0</v>
      </c>
    </row>
    <row r="45" spans="1:13" x14ac:dyDescent="0.4">
      <c r="A45">
        <v>2020</v>
      </c>
      <c r="B45" s="18" t="s">
        <v>65</v>
      </c>
      <c r="C45" t="s">
        <v>19</v>
      </c>
      <c r="D45" s="18" t="s">
        <v>70</v>
      </c>
      <c r="E45">
        <v>2647926055110.0464</v>
      </c>
      <c r="F45">
        <v>67601110</v>
      </c>
      <c r="H45" t="s">
        <v>19</v>
      </c>
      <c r="J45">
        <v>1</v>
      </c>
      <c r="L45">
        <f t="shared" si="0"/>
        <v>67601110</v>
      </c>
      <c r="M45">
        <f t="shared" si="1"/>
        <v>0</v>
      </c>
    </row>
    <row r="46" spans="1:13" x14ac:dyDescent="0.4">
      <c r="A46">
        <v>2020</v>
      </c>
      <c r="B46" s="18" t="s">
        <v>65</v>
      </c>
      <c r="C46" t="s">
        <v>16</v>
      </c>
      <c r="D46" s="18" t="s">
        <v>69</v>
      </c>
      <c r="E46">
        <v>355631021931.62103</v>
      </c>
      <c r="F46">
        <v>5831404</v>
      </c>
      <c r="H46" t="s">
        <v>16</v>
      </c>
      <c r="J46">
        <v>1</v>
      </c>
      <c r="L46">
        <f t="shared" si="0"/>
        <v>5831404</v>
      </c>
      <c r="M46">
        <f t="shared" si="1"/>
        <v>0</v>
      </c>
    </row>
    <row r="47" spans="1:13" x14ac:dyDescent="0.4">
      <c r="A47">
        <v>2020</v>
      </c>
      <c r="B47" s="18" t="s">
        <v>65</v>
      </c>
      <c r="C47" t="s">
        <v>14</v>
      </c>
      <c r="D47" s="18" t="s">
        <v>68</v>
      </c>
      <c r="E47">
        <v>25555093854.296829</v>
      </c>
      <c r="F47">
        <v>1302247</v>
      </c>
      <c r="H47" t="s">
        <v>14</v>
      </c>
      <c r="J47">
        <v>1</v>
      </c>
      <c r="L47">
        <f t="shared" si="0"/>
        <v>1302247</v>
      </c>
      <c r="M47">
        <f t="shared" si="1"/>
        <v>0</v>
      </c>
    </row>
    <row r="48" spans="1:13" x14ac:dyDescent="0.4">
      <c r="A48">
        <v>2020</v>
      </c>
      <c r="B48" s="18" t="s">
        <v>65</v>
      </c>
      <c r="C48" t="s">
        <v>55</v>
      </c>
      <c r="D48" s="18" t="s">
        <v>67</v>
      </c>
      <c r="E48">
        <v>20226038369.919102</v>
      </c>
      <c r="F48">
        <v>3299349</v>
      </c>
      <c r="H48" t="s">
        <v>55</v>
      </c>
      <c r="J48">
        <v>1</v>
      </c>
      <c r="L48">
        <f t="shared" si="0"/>
        <v>3299349</v>
      </c>
      <c r="M48">
        <f t="shared" si="1"/>
        <v>0</v>
      </c>
    </row>
    <row r="49" spans="1:13" x14ac:dyDescent="0.4">
      <c r="A49">
        <v>2020</v>
      </c>
      <c r="B49" s="18" t="s">
        <v>65</v>
      </c>
      <c r="C49" t="s">
        <v>44</v>
      </c>
      <c r="D49" s="18" t="s">
        <v>66</v>
      </c>
      <c r="E49">
        <v>61371673344.742424</v>
      </c>
      <c r="F49">
        <v>9379952</v>
      </c>
      <c r="H49" t="s">
        <v>44</v>
      </c>
      <c r="J49">
        <v>1</v>
      </c>
      <c r="L49">
        <f t="shared" si="0"/>
        <v>9379952</v>
      </c>
      <c r="M49">
        <f t="shared" si="1"/>
        <v>0</v>
      </c>
    </row>
    <row r="50" spans="1:13" x14ac:dyDescent="0.4">
      <c r="A50">
        <v>2020</v>
      </c>
      <c r="B50" s="18" t="s">
        <v>65</v>
      </c>
      <c r="C50" t="s">
        <v>10</v>
      </c>
      <c r="D50" s="18" t="s">
        <v>64</v>
      </c>
      <c r="E50">
        <v>434397601557.69617</v>
      </c>
      <c r="F50">
        <v>8916864</v>
      </c>
      <c r="H50" t="s">
        <v>10</v>
      </c>
      <c r="J50">
        <v>1</v>
      </c>
      <c r="L50">
        <f t="shared" si="0"/>
        <v>8916864</v>
      </c>
      <c r="M50">
        <f t="shared" si="1"/>
        <v>0</v>
      </c>
    </row>
    <row r="51" spans="1:13" x14ac:dyDescent="0.4">
      <c r="A51">
        <v>2020</v>
      </c>
      <c r="B51" s="18" t="s">
        <v>65</v>
      </c>
      <c r="C51" t="s">
        <v>182</v>
      </c>
      <c r="D51" s="18" t="s">
        <v>181</v>
      </c>
      <c r="E51">
        <v>2891002460.2915344</v>
      </c>
      <c r="F51">
        <v>77380</v>
      </c>
      <c r="I51" t="s">
        <v>186</v>
      </c>
      <c r="J51">
        <v>1</v>
      </c>
      <c r="L51">
        <f t="shared" si="0"/>
        <v>77380</v>
      </c>
      <c r="M51">
        <f t="shared" si="1"/>
        <v>0</v>
      </c>
    </row>
    <row r="52" spans="1:13" x14ac:dyDescent="0.4">
      <c r="A52">
        <v>2020</v>
      </c>
      <c r="B52" s="18" t="s">
        <v>65</v>
      </c>
      <c r="C52" t="s">
        <v>180</v>
      </c>
      <c r="D52" s="18" t="s">
        <v>179</v>
      </c>
      <c r="E52" t="s">
        <v>178</v>
      </c>
      <c r="F52">
        <v>36173</v>
      </c>
      <c r="I52" t="s">
        <v>180</v>
      </c>
      <c r="J52">
        <v>1</v>
      </c>
      <c r="L52">
        <f t="shared" si="0"/>
        <v>36173</v>
      </c>
      <c r="M52">
        <f t="shared" si="1"/>
        <v>0</v>
      </c>
    </row>
    <row r="53" spans="1:13" x14ac:dyDescent="0.4">
      <c r="A53">
        <v>2020</v>
      </c>
      <c r="B53" s="18" t="s">
        <v>65</v>
      </c>
      <c r="C53" t="s">
        <v>177</v>
      </c>
      <c r="D53" s="18" t="s">
        <v>176</v>
      </c>
      <c r="E53">
        <v>6405870210.3229303</v>
      </c>
      <c r="F53">
        <v>38901</v>
      </c>
      <c r="I53" t="s">
        <v>177</v>
      </c>
      <c r="J53">
        <v>1</v>
      </c>
      <c r="L53">
        <f t="shared" si="0"/>
        <v>38901</v>
      </c>
      <c r="M53">
        <f t="shared" si="1"/>
        <v>0</v>
      </c>
    </row>
    <row r="54" spans="1:13" x14ac:dyDescent="0.4">
      <c r="A54">
        <v>2020</v>
      </c>
      <c r="B54" s="18" t="s">
        <v>65</v>
      </c>
      <c r="C54" t="s">
        <v>175</v>
      </c>
      <c r="D54" s="18" t="s">
        <v>174</v>
      </c>
      <c r="E54">
        <v>6730736282.7896099</v>
      </c>
      <c r="F54">
        <v>38050</v>
      </c>
      <c r="I54" t="s">
        <v>186</v>
      </c>
      <c r="J54">
        <v>1</v>
      </c>
      <c r="L54">
        <f t="shared" si="0"/>
        <v>38050</v>
      </c>
      <c r="M54">
        <f t="shared" si="1"/>
        <v>0</v>
      </c>
    </row>
    <row r="55" spans="1:13" x14ac:dyDescent="0.4">
      <c r="A55">
        <v>2020</v>
      </c>
      <c r="B55" s="18" t="s">
        <v>65</v>
      </c>
      <c r="C55" t="s">
        <v>173</v>
      </c>
      <c r="D55" s="18" t="s">
        <v>172</v>
      </c>
      <c r="E55">
        <v>9439810769.2307682</v>
      </c>
      <c r="F55">
        <v>166235</v>
      </c>
      <c r="I55" t="s">
        <v>186</v>
      </c>
      <c r="J55">
        <v>1</v>
      </c>
      <c r="L55">
        <f t="shared" si="0"/>
        <v>166235</v>
      </c>
      <c r="M55">
        <f t="shared" si="1"/>
        <v>0</v>
      </c>
    </row>
    <row r="56" spans="1:13" x14ac:dyDescent="0.4">
      <c r="A56">
        <v>2020</v>
      </c>
      <c r="B56" s="18" t="s">
        <v>65</v>
      </c>
      <c r="C56" t="s">
        <v>171</v>
      </c>
      <c r="D56" s="18" t="s">
        <v>170</v>
      </c>
      <c r="E56">
        <v>1541248248.8072708</v>
      </c>
      <c r="F56">
        <v>34770</v>
      </c>
      <c r="I56" t="s">
        <v>187</v>
      </c>
      <c r="J56">
        <v>1</v>
      </c>
      <c r="L56">
        <f t="shared" si="0"/>
        <v>34770</v>
      </c>
      <c r="M56">
        <f t="shared" si="1"/>
        <v>0</v>
      </c>
    </row>
    <row r="57" spans="1:13" x14ac:dyDescent="0.4">
      <c r="A57">
        <v>2020</v>
      </c>
      <c r="B57" t="s">
        <v>65</v>
      </c>
      <c r="C57" t="s">
        <v>38</v>
      </c>
      <c r="D57" t="s">
        <v>189</v>
      </c>
      <c r="E57">
        <v>22034665040.7901</v>
      </c>
      <c r="F57">
        <v>366463</v>
      </c>
      <c r="H57" t="s">
        <v>38</v>
      </c>
      <c r="J57">
        <v>1</v>
      </c>
      <c r="L57">
        <f t="shared" si="0"/>
        <v>366463</v>
      </c>
      <c r="M57">
        <f t="shared" si="1"/>
        <v>0</v>
      </c>
    </row>
    <row r="58" spans="1:13" x14ac:dyDescent="0.4">
      <c r="B58" s="18"/>
      <c r="D58" s="18"/>
      <c r="L58" s="19">
        <f>SUM(L2:L57)</f>
        <v>745109060</v>
      </c>
      <c r="M58" s="19">
        <f>SUM(M2:M57)</f>
        <v>176656324</v>
      </c>
    </row>
    <row r="59" spans="1:13" x14ac:dyDescent="0.4">
      <c r="B59" s="18"/>
      <c r="D59" s="18"/>
    </row>
    <row r="60" spans="1:13" x14ac:dyDescent="0.4">
      <c r="A60" t="s">
        <v>63</v>
      </c>
      <c r="B60" s="18"/>
      <c r="D60" s="18"/>
    </row>
    <row r="61" spans="1:13" x14ac:dyDescent="0.4">
      <c r="A61" t="s">
        <v>62</v>
      </c>
    </row>
    <row r="76" spans="8:10" x14ac:dyDescent="0.4">
      <c r="H76" t="s">
        <v>28</v>
      </c>
      <c r="J76" t="s">
        <v>185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50F39-0B64-4B49-A2C5-537DBA68F68B}">
  <dimension ref="A1:P3"/>
  <sheetViews>
    <sheetView workbookViewId="0"/>
  </sheetViews>
  <sheetFormatPr defaultRowHeight="14.6" x14ac:dyDescent="0.4"/>
  <cols>
    <col min="1" max="1" width="15.765625" customWidth="1"/>
    <col min="2" max="16" width="50.765625" customWidth="1"/>
  </cols>
  <sheetData>
    <row r="1" spans="1:16" x14ac:dyDescent="0.4">
      <c r="A1" t="s">
        <v>169</v>
      </c>
      <c r="B1" t="s">
        <v>168</v>
      </c>
      <c r="C1" t="s">
        <v>167</v>
      </c>
      <c r="D1" t="s">
        <v>166</v>
      </c>
      <c r="E1" t="s">
        <v>165</v>
      </c>
      <c r="F1" t="s">
        <v>164</v>
      </c>
      <c r="G1" t="s">
        <v>163</v>
      </c>
      <c r="H1" t="s">
        <v>162</v>
      </c>
      <c r="I1" t="s">
        <v>161</v>
      </c>
      <c r="J1" t="s">
        <v>160</v>
      </c>
      <c r="K1" t="s">
        <v>159</v>
      </c>
      <c r="L1" t="s">
        <v>158</v>
      </c>
      <c r="M1" t="s">
        <v>157</v>
      </c>
      <c r="N1" t="s">
        <v>156</v>
      </c>
      <c r="O1" t="s">
        <v>155</v>
      </c>
      <c r="P1" t="s">
        <v>154</v>
      </c>
    </row>
    <row r="2" spans="1:16" x14ac:dyDescent="0.4">
      <c r="A2" t="s">
        <v>153</v>
      </c>
      <c r="B2" t="s">
        <v>141</v>
      </c>
      <c r="C2" t="s">
        <v>152</v>
      </c>
      <c r="D2" t="s">
        <v>151</v>
      </c>
      <c r="E2" t="s">
        <v>150</v>
      </c>
      <c r="F2" t="s">
        <v>149</v>
      </c>
      <c r="G2" t="s">
        <v>136</v>
      </c>
      <c r="H2" t="s">
        <v>148</v>
      </c>
      <c r="I2" t="s">
        <v>134</v>
      </c>
      <c r="J2" t="s">
        <v>147</v>
      </c>
      <c r="K2" t="s">
        <v>146</v>
      </c>
      <c r="L2" t="s">
        <v>145</v>
      </c>
      <c r="M2" t="s">
        <v>144</v>
      </c>
      <c r="N2" t="s">
        <v>143</v>
      </c>
      <c r="P2" t="s">
        <v>127</v>
      </c>
    </row>
    <row r="3" spans="1:16" x14ac:dyDescent="0.4">
      <c r="A3" t="s">
        <v>142</v>
      </c>
      <c r="B3" t="s">
        <v>141</v>
      </c>
      <c r="C3" t="s">
        <v>140</v>
      </c>
      <c r="D3" t="s">
        <v>139</v>
      </c>
      <c r="E3" t="s">
        <v>138</v>
      </c>
      <c r="F3" t="s">
        <v>137</v>
      </c>
      <c r="G3" t="s">
        <v>136</v>
      </c>
      <c r="H3" t="s">
        <v>135</v>
      </c>
      <c r="I3" t="s">
        <v>134</v>
      </c>
      <c r="J3" t="s">
        <v>133</v>
      </c>
      <c r="K3" t="s">
        <v>132</v>
      </c>
      <c r="L3" t="s">
        <v>131</v>
      </c>
      <c r="M3" t="s">
        <v>130</v>
      </c>
      <c r="N3" t="s">
        <v>129</v>
      </c>
      <c r="O3" t="s">
        <v>128</v>
      </c>
      <c r="P3" t="s">
        <v>127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EE726821B4414D4F801789566814E9B0" ma:contentTypeVersion="14" ma:contentTypeDescription="Skapa ett nytt dokument." ma:contentTypeScope="" ma:versionID="9640bda3b9888aac721eb9060946fcb8">
  <xsd:schema xmlns:xsd="http://www.w3.org/2001/XMLSchema" xmlns:xs="http://www.w3.org/2001/XMLSchema" xmlns:p="http://schemas.microsoft.com/office/2006/metadata/properties" xmlns:ns2="64bc8f4d-cac8-469d-840e-d8b6f8e247f0" xmlns:ns3="458478d6-e45f-463e-b166-5a01b5e53481" targetNamespace="http://schemas.microsoft.com/office/2006/metadata/properties" ma:root="true" ma:fieldsID="1f4623e60d5b6808aeaedb8b4af22e75" ns2:_="" ns3:_="">
    <xsd:import namespace="64bc8f4d-cac8-469d-840e-d8b6f8e247f0"/>
    <xsd:import namespace="458478d6-e45f-463e-b166-5a01b5e53481"/>
    <xsd:element name="properties">
      <xsd:complexType>
        <xsd:sequence>
          <xsd:element name="documentManagement">
            <xsd:complexType>
              <xsd:all>
                <xsd:element ref="ns2:SharedWithUsers" minOccurs="0"/>
                <xsd:element ref="ns2:SharedWithDetails" minOccurs="0"/>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ObjectDetectorVersions" minOccurs="0"/>
                <xsd:element ref="ns3:lcf76f155ced4ddcb4097134ff3c332f" minOccurs="0"/>
                <xsd:element ref="ns2:TaxCatchAll" minOccurs="0"/>
                <xsd:element ref="ns3:MediaServiceDateTaken"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bc8f4d-cac8-469d-840e-d8b6f8e247f0"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element name="_dlc_DocId" ma:index="10" nillable="true" ma:displayName="Dokument-ID-värde" ma:description="Värdet för dokument-ID som tilldelats till det här objektet." ma:indexed="true" ma:internalName="_dlc_DocId" ma:readOnly="true">
      <xsd:simpleType>
        <xsd:restriction base="dms:Text"/>
      </xsd:simpleType>
    </xsd:element>
    <xsd:element name="_dlc_DocIdUrl" ma:index="11" nillable="true" ma:displayName="Dokument-ID" ma:description="Permanent länk till det här dokumente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2" nillable="true" ma:displayName="Persist ID" ma:description="Keep ID on add." ma:hidden="true" ma:internalName="_dlc_DocIdPersistId" ma:readOnly="true">
      <xsd:simpleType>
        <xsd:restriction base="dms:Boolean"/>
      </xsd:simpleType>
    </xsd:element>
    <xsd:element name="TaxCatchAll" ma:index="19" nillable="true" ma:displayName="Taxonomy Catch All Column" ma:hidden="true" ma:list="{baa4500e-c61e-4159-b67e-c6133d211784}" ma:internalName="TaxCatchAll" ma:showField="CatchAllData" ma:web="64bc8f4d-cac8-469d-840e-d8b6f8e247f0">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458478d6-e45f-463e-b166-5a01b5e53481" elementFormDefault="qualified">
    <xsd:import namespace="http://schemas.microsoft.com/office/2006/documentManagement/types"/>
    <xsd:import namespace="http://schemas.microsoft.com/office/infopath/2007/PartnerControls"/>
    <xsd:element name="MediaServiceMetadata" ma:index="13" nillable="true" ma:displayName="MediaServiceMetadata" ma:hidden="true" ma:internalName="MediaServiceMetadata" ma:readOnly="true">
      <xsd:simpleType>
        <xsd:restriction base="dms:Note"/>
      </xsd:simpleType>
    </xsd:element>
    <xsd:element name="MediaServiceFastMetadata" ma:index="14" nillable="true" ma:displayName="MediaServiceFastMetadata" ma:hidden="true" ma:internalName="MediaServiceFastMetadata" ma:readOnly="true">
      <xsd:simpleType>
        <xsd:restriction base="dms:Note"/>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lcf76f155ced4ddcb4097134ff3c332f" ma:index="18" nillable="true" ma:taxonomy="true" ma:internalName="lcf76f155ced4ddcb4097134ff3c332f" ma:taxonomyFieldName="MediaServiceImageTags" ma:displayName="Bildmarkeringar" ma:readOnly="false" ma:fieldId="{5cf76f15-5ced-4ddc-b409-7134ff3c332f}" ma:taxonomyMulti="true" ma:sspId="b7d5c9cd-1d9d-4498-a792-f3e3b2446e27" ma:termSetId="09814cd3-568e-fe90-9814-8d621ff8fb84" ma:anchorId="fba54fb3-c3e1-fe81-a776-ca4b69148c4d" ma:open="true" ma:isKeyword="false">
      <xsd:complexType>
        <xsd:sequence>
          <xsd:element ref="pc:Terms" minOccurs="0" maxOccurs="1"/>
        </xsd:sequence>
      </xsd:complex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CR" ma:index="21" nillable="true" ma:displayName="Extracted Text" ma:internalName="MediaServiceOCR" ma:readOnly="true">
      <xsd:simpleType>
        <xsd:restriction base="dms:Note">
          <xsd:maxLength value="255"/>
        </xsd:restriction>
      </xsd:simpleType>
    </xsd:element>
    <xsd:element name="MediaServiceGenerationTime" ma:index="22" nillable="true" ma:displayName="MediaServiceGenerationTime" ma:hidden="true" ma:internalName="MediaServiceGenerationTime" ma:readOnly="true">
      <xsd:simpleType>
        <xsd:restriction base="dms:Text"/>
      </xsd:simpleType>
    </xsd:element>
    <xsd:element name="MediaServiceEventHashCode" ma:index="23" nillable="true" ma:displayName="MediaServiceEventHashCode" ma:hidden="true" ma:internalName="MediaServiceEventHashCode"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58478d6-e45f-463e-b166-5a01b5e53481">
      <Terms xmlns="http://schemas.microsoft.com/office/infopath/2007/PartnerControls"/>
    </lcf76f155ced4ddcb4097134ff3c332f>
    <TaxCatchAll xmlns="64bc8f4d-cac8-469d-840e-d8b6f8e247f0" xsi:nil="true"/>
    <_dlc_DocId xmlns="64bc8f4d-cac8-469d-840e-d8b6f8e247f0">4FMPXW5WT43S-1005746519-444</_dlc_DocId>
    <_dlc_DocIdUrl xmlns="64bc8f4d-cac8-469d-840e-d8b6f8e247f0">
      <Url>https://anthesisllc.sharepoint.com/teams/External_-_Nordic_SLCPs_365/_layouts/15/DocIdRedir.aspx?ID=4FMPXW5WT43S-1005746519-444</Url>
      <Description>4FMPXW5WT43S-1005746519-444</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45305E3-4428-404D-9053-86A1EAC916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bc8f4d-cac8-469d-840e-d8b6f8e247f0"/>
    <ds:schemaRef ds:uri="458478d6-e45f-463e-b166-5a01b5e534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A28B098-AA57-4494-8DA3-761B84790965}">
  <ds:schemaRefs>
    <ds:schemaRef ds:uri="http://schemas.microsoft.com/office/2006/metadata/properties"/>
    <ds:schemaRef ds:uri="http://schemas.microsoft.com/office/infopath/2007/PartnerControls"/>
    <ds:schemaRef ds:uri="458478d6-e45f-463e-b166-5a01b5e53481"/>
    <ds:schemaRef ds:uri="64bc8f4d-cac8-469d-840e-d8b6f8e247f0"/>
  </ds:schemaRefs>
</ds:datastoreItem>
</file>

<file path=customXml/itemProps3.xml><?xml version="1.0" encoding="utf-8"?>
<ds:datastoreItem xmlns:ds="http://schemas.openxmlformats.org/officeDocument/2006/customXml" ds:itemID="{4A959997-138A-426D-9C5C-866D09D94D10}">
  <ds:schemaRefs>
    <ds:schemaRef ds:uri="http://schemas.microsoft.com/sharepoint/events"/>
  </ds:schemaRefs>
</ds:datastoreItem>
</file>

<file path=customXml/itemProps4.xml><?xml version="1.0" encoding="utf-8"?>
<ds:datastoreItem xmlns:ds="http://schemas.openxmlformats.org/officeDocument/2006/customXml" ds:itemID="{345157FC-9AB7-471E-8A38-484235567C7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VALESOR VOLY VSL vQALY</vt:lpstr>
      <vt:lpstr>INFO</vt:lpstr>
      <vt:lpstr>Data</vt:lpstr>
      <vt:lpstr>Series - Metadata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 Strömberg</dc:creator>
  <cp:keywords/>
  <dc:description/>
  <cp:lastModifiedBy>Lovisa Årebäck</cp:lastModifiedBy>
  <cp:revision/>
  <dcterms:created xsi:type="dcterms:W3CDTF">2025-05-06T16:29:00Z</dcterms:created>
  <dcterms:modified xsi:type="dcterms:W3CDTF">2026-05-12T10:47:43Z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0x010100EE726821B4414D4F801789566814E9B0</vt:lpwstr>
  </property>
  <property fmtid="{D5CDD505-2E9C-101B-9397-08002B2CF9AE}" pid="3" name="MediaServiceImageTags">
    <vt:lpwstr/>
  </property>
  <property fmtid="{D5CDD505-2E9C-101B-9397-08002B2CF9AE}" pid="4" name="_dlc_DocIdItemGuid">
    <vt:lpwstr>ea2e07c5-b594-4025-8502-fdaa92abe1f6</vt:lpwstr>
  </property>
</Properties>
</file>
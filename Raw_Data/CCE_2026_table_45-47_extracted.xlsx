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Raw_Data\"/>
    </mc:Choice>
  </mc:AlternateContent>
  <xr:revisionPtr revIDLastSave="0" documentId="13_ncr:1_{BF82A464-69C1-4B7D-884E-73C83145A32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ble 45" sheetId="1" r:id="rId1"/>
    <sheet name="Table 47" sheetId="3" r:id="rId2"/>
    <sheet name="Notes" sheetId="2" r:id="rId3"/>
    <sheet name="Sheet2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" i="4" l="1"/>
  <c r="Y5" i="4"/>
  <c r="X5" i="4"/>
  <c r="W5" i="4"/>
  <c r="V5" i="4"/>
  <c r="U5" i="4"/>
  <c r="S5" i="4"/>
  <c r="R5" i="4"/>
  <c r="Q5" i="4"/>
  <c r="P5" i="4"/>
  <c r="O5" i="4"/>
  <c r="L5" i="4"/>
  <c r="K5" i="4"/>
  <c r="J5" i="4"/>
  <c r="I5" i="4"/>
  <c r="M5" i="4"/>
  <c r="F5" i="4"/>
  <c r="E5" i="4"/>
  <c r="D5" i="4"/>
  <c r="G5" i="4"/>
  <c r="C5" i="4"/>
  <c r="AA5" i="4"/>
  <c r="AE5" i="4" l="1"/>
  <c r="BF5" i="4" s="1"/>
  <c r="AJ5" i="4"/>
  <c r="AH5" i="4"/>
  <c r="AC5" i="4"/>
  <c r="BG5" i="4" l="1"/>
  <c r="BH5" i="4" s="1"/>
  <c r="AM5" i="4"/>
  <c r="AP5" i="4" s="1"/>
  <c r="AO5" i="4"/>
  <c r="BJ5" i="4" l="1"/>
  <c r="AU5" i="4"/>
  <c r="BK5" i="4"/>
  <c r="AV5" i="4"/>
  <c r="BL5" i="4"/>
</calcChain>
</file>

<file path=xl/sharedStrings.xml><?xml version="1.0" encoding="utf-8"?>
<sst xmlns="http://schemas.openxmlformats.org/spreadsheetml/2006/main" count="326" uniqueCount="156">
  <si>
    <t>Table 45 - AAE and AAR evaluating exceedance of harmonised minimum Empirical Critical Loads for different scenarios for 2040</t>
  </si>
  <si>
    <t>Source: CCE Status Report 2026, Table 45, pages 180-182</t>
  </si>
  <si>
    <t>Country / region</t>
  </si>
  <si>
    <t>Receptor area (km²)</t>
  </si>
  <si>
    <t>% of total country area</t>
  </si>
  <si>
    <t>Base 2015 AAE (kg ha⁻¹ a⁻¹)</t>
  </si>
  <si>
    <t>Base 2015 AAR (%)</t>
  </si>
  <si>
    <t>CLE 2040 AAE (kg ha⁻¹ a⁻¹)</t>
  </si>
  <si>
    <t>CLE 2040 AAR (%)</t>
  </si>
  <si>
    <t>Opt 2040 AAE (kg ha⁻¹ a⁻¹)</t>
  </si>
  <si>
    <t>Opt 2040 AAR (%)</t>
  </si>
  <si>
    <t>Opt_hv 2040 AAE (kg ha⁻¹ a⁻¹)</t>
  </si>
  <si>
    <t>Opt_hv 2040 AAR (%)</t>
  </si>
  <si>
    <t>MTFR 2040 AAE (kg ha⁻¹ a⁻¹)</t>
  </si>
  <si>
    <t>MTFR 2040 AAR (%)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</si>
  <si>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</si>
  <si>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</si>
  <si>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</si>
  <si>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</si>
  <si>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</si>
  <si>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</si>
  <si>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</si>
  <si>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</si>
  <si>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</si>
  <si>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</si>
  <si>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</si>
  <si>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</si>
  <si>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</si>
  <si>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</si>
  <si>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</si>
  <si>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</si>
  <si>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</si>
  <si>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</si>
  <si>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</si>
  <si>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</si>
  <si>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</si>
  <si>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</si>
  <si>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</si>
  <si>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</si>
  <si>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</si>
  <si>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</si>
  <si>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</si>
  <si>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EU-27</t>
  </si>
  <si>
    <t>Andorra</t>
  </si>
  <si>
    <t>Iceland</t>
  </si>
  <si>
    <t>Liechtenstein</t>
  </si>
  <si>
    <t>Norway</t>
  </si>
  <si>
    <t>San Marino</t>
  </si>
  <si>
    <t>Switzerland</t>
  </si>
  <si>
    <t>United Kingdom</t>
  </si>
  <si>
    <t>Non-EU</t>
  </si>
  <si>
    <t>Albania</t>
  </si>
  <si>
    <t>Bosnia and Herzegovina</t>
  </si>
  <si>
    <t>Kosovo</t>
  </si>
  <si>
    <t>Montenegro</t>
  </si>
  <si>
    <t>North Macedonia</t>
  </si>
  <si>
    <t>Serbia</t>
  </si>
  <si>
    <t>WB countries</t>
  </si>
  <si>
    <t>Armenia</t>
  </si>
  <si>
    <t>Azerbaijan</t>
  </si>
  <si>
    <t>Belarus</t>
  </si>
  <si>
    <t>Georgia</t>
  </si>
  <si>
    <t>Kazakhstan</t>
  </si>
  <si>
    <t>Kyrgyzstan</t>
  </si>
  <si>
    <t>Moldova</t>
  </si>
  <si>
    <t>Russia</t>
  </si>
  <si>
    <t>Tajikistan</t>
  </si>
  <si>
    <t>Turkey</t>
  </si>
  <si>
    <t>Turkmenistan</t>
  </si>
  <si>
    <t>Ukraine</t>
  </si>
  <si>
    <t>Uzbekistan</t>
  </si>
  <si>
    <t>EECCA countries &amp; Turkey</t>
  </si>
  <si>
    <t>Item</t>
  </si>
  <si>
    <t>Details</t>
  </si>
  <si>
    <t>Source PDF</t>
  </si>
  <si>
    <t>CCE Status report 2026_update_20260320.pdf</t>
  </si>
  <si>
    <t>Extracted table</t>
  </si>
  <si>
    <t>Pages</t>
  </si>
  <si>
    <t>180-182</t>
  </si>
  <si>
    <t>Note</t>
  </si>
  <si>
    <t>Values were converted from European number formatting to numeric Excel values.</t>
  </si>
  <si>
    <t>AAE = Average Accumulated Exceedance [kg ha-1 a-1]; AAR = Area At Risk [%].</t>
  </si>
  <si>
    <t>Arctic-alpine calcareous grassland (R44)</t>
  </si>
  <si>
    <t>Temperate acidophilous alpine grassland (R43)</t>
  </si>
  <si>
    <t>Boreal and arctic acidophilous alpine grassland (R42)</t>
  </si>
  <si>
    <t>Temperate and boreal moist or wet oligotrophic grassland (R37)</t>
  </si>
  <si>
    <t>Moist or wet mesotrophic to eutrophic hay meadow (R35)</t>
  </si>
  <si>
    <t>Mountain hay meadow (R23)</t>
  </si>
  <si>
    <t>Low and medium altitude hay meadow (R22)</t>
  </si>
  <si>
    <t>Inland sanddrift and dune with siliceous grassland (R1Q)</t>
  </si>
  <si>
    <t>Oceanic to subcontinental inland sand grassland on dry acid and neutral soils (R1P)</t>
  </si>
  <si>
    <t>Lowland to montane, dry to mesic grassland usually dominated by Nardus stricta (R1M)</t>
  </si>
  <si>
    <t>Mediterranean annual-rich dry grassland (R1F)</t>
  </si>
  <si>
    <t>Mediterranean tall perennial dry grassland (R1E)</t>
  </si>
  <si>
    <t>Mediterranean closely grazed dry grassland (R1D)</t>
  </si>
  <si>
    <t>Semi-dry perennial calcareous grassland (meadow steppe) (R1A)</t>
  </si>
  <si>
    <t>AAR [%]9</t>
  </si>
  <si>
    <t>AAE [kg ha-1 a-1]8</t>
  </si>
  <si>
    <t>AAR [%]7</t>
  </si>
  <si>
    <t>AAE [kg ha-1 a-1]6</t>
  </si>
  <si>
    <t>AAR [%]5</t>
  </si>
  <si>
    <t>AAE [kg ha-1 a-1]4</t>
  </si>
  <si>
    <t>AAR [%]3</t>
  </si>
  <si>
    <t>AAE [kg ha-1 a-1]2</t>
  </si>
  <si>
    <t>AAR [%]</t>
  </si>
  <si>
    <t>AAE [kg ha-1 a-1]</t>
  </si>
  <si>
    <t>km²</t>
  </si>
  <si>
    <t>Column1</t>
  </si>
  <si>
    <t>MTFR 2040</t>
  </si>
  <si>
    <t>Opt_hv 2040</t>
  </si>
  <si>
    <t>Opt 2040</t>
  </si>
  <si>
    <t>CLE 2040</t>
  </si>
  <si>
    <t>Base 2015</t>
  </si>
  <si>
    <t>receptor area</t>
  </si>
  <si>
    <t>EUNIS Level-3 grassland ecosystem</t>
  </si>
  <si>
    <t>Source: CCE Status Report 2026, Table 47, page 186 of uploaded PDF</t>
  </si>
  <si>
    <t>Table 47 - AAE and AAR for EUNIS Level-3 grassland ecosystems (R)</t>
  </si>
  <si>
    <t>Table 45 &amp; 47</t>
  </si>
  <si>
    <t>Slovak Republic</t>
  </si>
  <si>
    <t>Republic of Moldova</t>
  </si>
  <si>
    <t>Receptor area</t>
  </si>
  <si>
    <t>AAR (%)</t>
  </si>
  <si>
    <t>% Semi-natural area exc</t>
  </si>
  <si>
    <t>Scenario: Base_v5a</t>
  </si>
  <si>
    <t>Scenario: B2/d/D/v5a</t>
  </si>
  <si>
    <t>Scenario: MTFR_v5a</t>
  </si>
  <si>
    <t>Year ?</t>
  </si>
  <si>
    <t>km2</t>
  </si>
  <si>
    <t>AAE (kg ha⁻¹ a⁻¹)</t>
  </si>
  <si>
    <t>Scenario: A1/s/D/v5a</t>
  </si>
  <si>
    <t>Semi-natural AAE</t>
  </si>
  <si>
    <t>Cost calculation</t>
  </si>
  <si>
    <t>Scenario 1</t>
  </si>
  <si>
    <t>Scenario 2</t>
  </si>
  <si>
    <t>GAINS CL CALIBRATION DATA INPUT</t>
  </si>
  <si>
    <t>CCE CL CALIBRATION DATA INPUT</t>
  </si>
  <si>
    <t>Management tech spec</t>
  </si>
  <si>
    <t>kg N removed/ha</t>
  </si>
  <si>
    <t>management cost /km2 /yr</t>
  </si>
  <si>
    <t>Assume low cost from Hassler</t>
  </si>
  <si>
    <t>Cost approach 1</t>
  </si>
  <si>
    <t>Cost approach 2</t>
  </si>
  <si>
    <t>max management per year</t>
  </si>
  <si>
    <t>Fine-tuned management</t>
  </si>
  <si>
    <t>Binary management</t>
  </si>
  <si>
    <t>Delta</t>
  </si>
  <si>
    <t>mgmnt cost € / yr</t>
  </si>
  <si>
    <t>AAE for EUNIS Level-3 grassland ecosystems (R)</t>
  </si>
  <si>
    <t>AAR for EUNIS Level-3 grassland ecosystems (R)</t>
  </si>
  <si>
    <t>(kg /ha /yr)</t>
  </si>
  <si>
    <t>kg Exceedance</t>
  </si>
  <si>
    <t>Harvests per year</t>
  </si>
  <si>
    <t>#</t>
  </si>
  <si>
    <t>Exceeded areas harvests per year</t>
  </si>
  <si>
    <t>Non-exceeded areas harvests per year</t>
  </si>
  <si>
    <t>Over exceeded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</si>
</sst>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73" formatCode="_-* #,##0_-;\-* #,##0_-;_-* &quot;-&quot;??_-;_-@_-"/>
  </numFmts>
  <fonts count="14">
    <font>
      <sz val="11"/>
      <name val="Carlito"/>
    </font>
    <font>
      <b/>
      <sz val="14"/>
      <color rgb="FFFFFFFF"/>
      <name val="Carlito"/>
    </font>
    <font>
      <i/>
      <sz val="11"/>
      <color rgb="FF374151"/>
      <name val="Carlito"/>
    </font>
    <font>
      <b/>
      <sz val="11"/>
      <color rgb="FF111827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color theme="1"/>
      <name val="Carlito"/>
    </font>
    <font>
      <b/>
      <sz val="11"/>
      <color theme="1"/>
      <name val="Carlito"/>
    </font>
    <font>
      <i/>
      <sz val="10"/>
      <name val="Carlito"/>
    </font>
    <font>
      <b/>
      <sz val="11"/>
      <color rgb="FF000000"/>
      <name val="Carlito"/>
    </font>
    <font>
      <i/>
      <sz val="10"/>
      <color rgb="FF374151"/>
      <name val="Carlito"/>
    </font>
    <font>
      <b/>
      <sz val="14"/>
      <color rgb="FF1F2937"/>
      <name val="Carlito"/>
    </font>
    <font>
      <b/>
      <sz val="16"/>
      <color rgb="FFFF0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84CC16"/>
      </patternFill>
    </fill>
    <fill>
      <patternFill patternType="solid">
        <fgColor rgb="FFE5F5D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9FAFB"/>
      </patternFill>
    </fill>
    <fill>
      <patternFill patternType="solid">
        <fgColor rgb="FFF3F4F6"/>
      </patternFill>
    </fill>
    <fill>
      <patternFill patternType="solid">
        <fgColor rgb="FF93D47C"/>
      </patternFill>
    </fill>
    <fill>
      <patternFill patternType="solid">
        <fgColor rgb="FFE5F5D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6" fillId="0" borderId="1"/>
  </cellStyleXfs>
  <cellXfs count="41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4" fillId="4" borderId="0" xfId="0" applyFont="1" applyFill="1" applyAlignment="1">
      <alignment vertical="center" wrapText="1"/>
    </xf>
    <xf numFmtId="3" fontId="4" fillId="4" borderId="0" xfId="0" applyNumberFormat="1" applyFont="1" applyFill="1" applyAlignment="1">
      <alignment vertical="center"/>
    </xf>
    <xf numFmtId="164" fontId="4" fillId="4" borderId="0" xfId="0" applyNumberFormat="1" applyFont="1" applyFill="1" applyAlignment="1">
      <alignment vertical="center"/>
    </xf>
    <xf numFmtId="0" fontId="5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6" fillId="0" borderId="1" xfId="2"/>
    <xf numFmtId="0" fontId="6" fillId="0" borderId="1" xfId="2"/>
    <xf numFmtId="0" fontId="9" fillId="6" borderId="1" xfId="2" applyFont="1" applyFill="1"/>
    <xf numFmtId="164" fontId="6" fillId="0" borderId="1" xfId="2" applyNumberFormat="1" applyAlignment="1">
      <alignment horizontal="right" vertical="top" wrapText="1"/>
    </xf>
    <xf numFmtId="3" fontId="6" fillId="0" borderId="1" xfId="2" applyNumberFormat="1" applyAlignment="1">
      <alignment horizontal="right" vertical="top" wrapText="1"/>
    </xf>
    <xf numFmtId="0" fontId="6" fillId="0" borderId="1" xfId="2" applyAlignment="1">
      <alignment vertical="top" wrapText="1"/>
    </xf>
    <xf numFmtId="0" fontId="4" fillId="7" borderId="1" xfId="2" applyFont="1" applyFill="1" applyAlignment="1">
      <alignment horizontal="center" vertical="center" wrapText="1"/>
    </xf>
    <xf numFmtId="0" fontId="10" fillId="8" borderId="1" xfId="2" applyFont="1" applyFill="1" applyAlignment="1">
      <alignment horizontal="center" vertical="center" wrapText="1"/>
    </xf>
    <xf numFmtId="0" fontId="10" fillId="8" borderId="1" xfId="2" applyFont="1" applyFill="1" applyAlignment="1">
      <alignment horizontal="center" vertical="center" wrapText="1"/>
    </xf>
    <xf numFmtId="0" fontId="11" fillId="0" borderId="1" xfId="2" applyFont="1" applyAlignment="1">
      <alignment vertical="center"/>
    </xf>
    <xf numFmtId="0" fontId="12" fillId="9" borderId="1" xfId="2" applyFont="1" applyFill="1" applyAlignment="1">
      <alignment vertical="center"/>
    </xf>
    <xf numFmtId="0" fontId="7" fillId="5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0" fillId="10" borderId="0" xfId="0" applyFill="1"/>
    <xf numFmtId="0" fontId="12" fillId="9" borderId="1" xfId="2" applyFont="1" applyFill="1" applyAlignment="1">
      <alignment vertical="center"/>
    </xf>
    <xf numFmtId="3" fontId="0" fillId="0" borderId="0" xfId="0" applyNumberFormat="1"/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3" fillId="0" borderId="3" xfId="0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2" fillId="0" borderId="1" xfId="2" applyFont="1" applyFill="1" applyAlignment="1">
      <alignment vertical="center"/>
    </xf>
    <xf numFmtId="173" fontId="0" fillId="0" borderId="0" xfId="1" applyNumberFormat="1" applyFont="1"/>
  </cellXfs>
  <cellStyles count="3">
    <cellStyle name="Comma" xfId="1" builtinId="3"/>
    <cellStyle name="Normal" xfId="0" builtinId="0"/>
    <cellStyle name="Normal 2" xfId="2" xr:uid="{95930865-E707-469A-B45A-A50A031DBC7E}"/>
  </cellStyles>
  <dxfs count="1"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thesisllc-my.sharepoint.com/personal/stefan_astrom_anthesisgroup_com/Documents/Desktop/v5_bio_critical_load.xlsx" TargetMode="External"/><Relationship Id="rId1" Type="http://schemas.openxmlformats.org/officeDocument/2006/relationships/externalLinkPath" Target="https://anthesisllc-my.sharepoint.com/personal/stefan_astrom_anthesisgroup_com/Documents/Desktop/v5_bio_critical_l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o_critical_load (16)"/>
      <sheetName val="bio_critical_load"/>
      <sheetName val="bio_critical_load (1)"/>
      <sheetName val="bio_critical_load (2)"/>
      <sheetName val="bio_critical_load (3)"/>
      <sheetName val="bio_critical_load (4)"/>
      <sheetName val="bio_critical_load (5)"/>
      <sheetName val="bio_critical_load (6)"/>
      <sheetName val="bio_critical_load (7)"/>
      <sheetName val="bio_critical_load (8)"/>
      <sheetName val="bio_critical_load (9)"/>
      <sheetName val="bio_critical_load (10)"/>
      <sheetName val="bio_critical_load (11)"/>
      <sheetName val="bio_critical_load (12)"/>
      <sheetName val="bio_critical_load (13)"/>
      <sheetName val="bio_critical_load (14)"/>
      <sheetName val="bio_critical_load (15)"/>
      <sheetName val="bio_critical_load (18)"/>
      <sheetName val="Sheet1"/>
    </sheetNames>
    <sheetDataSet>
      <sheetData sheetId="0">
        <row r="10">
          <cell r="M10">
            <v>53</v>
          </cell>
          <cell r="N10">
            <v>123.9</v>
          </cell>
        </row>
      </sheetData>
      <sheetData sheetId="1"/>
      <sheetData sheetId="2" refreshError="1"/>
      <sheetData sheetId="3">
        <row r="10">
          <cell r="M10" t="str">
            <v>18.4737374049598375435734208718233359332</v>
          </cell>
          <cell r="N10" t="str">
            <v>18.9559571455935476916236991020180049475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0">
          <cell r="M10" t="str">
            <v>16.9420081514639871338044124193749077837</v>
          </cell>
          <cell r="N10" t="str">
            <v>17.93974528879040882495333823463755962</v>
          </cell>
        </row>
      </sheetData>
      <sheetData sheetId="16">
        <row r="10">
          <cell r="M10" t="str">
            <v>23.5718197127521262237201661724439090729</v>
          </cell>
          <cell r="N10" t="str">
            <v>30.1257322398364308252350604921715922173</v>
          </cell>
        </row>
      </sheetData>
      <sheetData sheetId="17">
        <row r="10">
          <cell r="M10">
            <v>13.9</v>
          </cell>
          <cell r="N10">
            <v>9.6999999999999993</v>
          </cell>
        </row>
      </sheetData>
      <sheetData sheetId="1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tractedTable45" displayName="ExtractedTable45" ref="A4:M61">
  <tableColumns count="13">
    <tableColumn id="1" xr3:uid="{00000000-0010-0000-0000-000001000000}" name="Country / region"/>
    <tableColumn id="2" xr3:uid="{00000000-0010-0000-0000-000002000000}" name="Receptor area (km²)"/>
    <tableColumn id="3" xr3:uid="{00000000-0010-0000-0000-000003000000}" name="% of total country area"/>
    <tableColumn id="4" xr3:uid="{00000000-0010-0000-0000-000004000000}" name="Base 2015 AAE (kg ha⁻¹ a⁻¹)"/>
    <tableColumn id="5" xr3:uid="{00000000-0010-0000-0000-000005000000}" name="Base 2015 AAR (%)"/>
    <tableColumn id="6" xr3:uid="{00000000-0010-0000-0000-000006000000}" name="CLE 2040 AAE (kg ha⁻¹ a⁻¹)"/>
    <tableColumn id="7" xr3:uid="{00000000-0010-0000-0000-000007000000}" name="CLE 2040 AAR (%)"/>
    <tableColumn id="8" xr3:uid="{00000000-0010-0000-0000-000008000000}" name="Opt 2040 AAE (kg ha⁻¹ a⁻¹)"/>
    <tableColumn id="9" xr3:uid="{00000000-0010-0000-0000-000009000000}" name="Opt 2040 AAR (%)"/>
    <tableColumn id="10" xr3:uid="{00000000-0010-0000-0000-00000A000000}" name="Opt_hv 2040 AAE (kg ha⁻¹ a⁻¹)"/>
    <tableColumn id="11" xr3:uid="{00000000-0010-0000-0000-00000B000000}" name="Opt_hv 2040 AAR (%)"/>
    <tableColumn id="12" xr3:uid="{00000000-0010-0000-0000-00000C000000}" name="MTFR 2040 AAE (kg ha⁻¹ a⁻¹)"/>
    <tableColumn id="13" xr3:uid="{00000000-0010-0000-0000-00000D000000}" name="MTFR 2040 AAR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91AC14-84F5-4283-93D1-0A445809C3DB}" name="Table47" displayName="Table47" ref="A5:L19" headerRowDxfId="0">
  <tableColumns count="12">
    <tableColumn id="1" xr3:uid="{00000000-0010-0000-0000-000001000000}" name="Column1"/>
    <tableColumn id="2" xr3:uid="{00000000-0010-0000-0000-000002000000}" name="km²"/>
    <tableColumn id="3" xr3:uid="{00000000-0010-0000-0000-000003000000}" name="AAE [kg ha-1 a-1]"/>
    <tableColumn id="4" xr3:uid="{00000000-0010-0000-0000-000004000000}" name="AAR [%]"/>
    <tableColumn id="5" xr3:uid="{00000000-0010-0000-0000-000005000000}" name="AAE [kg ha-1 a-1]2"/>
    <tableColumn id="6" xr3:uid="{00000000-0010-0000-0000-000006000000}" name="AAR [%]3"/>
    <tableColumn id="7" xr3:uid="{00000000-0010-0000-0000-000007000000}" name="AAE [kg ha-1 a-1]4"/>
    <tableColumn id="8" xr3:uid="{00000000-0010-0000-0000-000008000000}" name="AAR [%]5"/>
    <tableColumn id="9" xr3:uid="{00000000-0010-0000-0000-000009000000}" name="AAE [kg ha-1 a-1]6"/>
    <tableColumn id="10" xr3:uid="{00000000-0010-0000-0000-00000A000000}" name="AAR [%]7"/>
    <tableColumn id="11" xr3:uid="{00000000-0010-0000-0000-00000B000000}" name="AAE [kg ha-1 a-1]8"/>
    <tableColumn id="12" xr3:uid="{00000000-0010-0000-0000-00000C000000}" name="AAR [%]9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workbookViewId="0">
      <selection activeCell="D5" sqref="D5"/>
    </sheetView>
  </sheetViews>
  <sheetFormatPr defaultRowHeight="13.8"/>
  <cols>
    <col min="1" max="1" width="28" customWidth="1"/>
    <col min="2" max="3" width="14" customWidth="1"/>
    <col min="4" max="13" width="13" customWidth="1"/>
  </cols>
  <sheetData>
    <row r="1" spans="1:13" ht="22.3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4.4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1:13" ht="38.4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>
      <c r="A5" s="3" t="s">
        <v>15</v>
      </c>
      <c r="B5" s="4">
        <v>54375</v>
      </c>
      <c r="C5" s="5">
        <v>64.8</v>
      </c>
      <c r="D5" s="5">
        <v>5.5</v>
      </c>
      <c r="E5" s="5">
        <v>81.900000000000006</v>
      </c>
      <c r="F5" s="5">
        <v>1.7</v>
      </c>
      <c r="G5" s="5">
        <v>46</v>
      </c>
      <c r="H5" s="5">
        <v>1.3</v>
      </c>
      <c r="I5" s="5">
        <v>38.5</v>
      </c>
      <c r="J5" s="5">
        <v>1.2</v>
      </c>
      <c r="K5" s="5">
        <v>35.6</v>
      </c>
      <c r="L5" s="5">
        <v>0.8</v>
      </c>
      <c r="M5" s="5">
        <v>26.7</v>
      </c>
    </row>
    <row r="6" spans="1:13">
      <c r="A6" s="3" t="s">
        <v>16</v>
      </c>
      <c r="B6" s="4">
        <v>14455</v>
      </c>
      <c r="C6" s="5">
        <v>47.3</v>
      </c>
      <c r="D6" s="5">
        <v>12.5</v>
      </c>
      <c r="E6" s="5">
        <v>99.8</v>
      </c>
      <c r="F6" s="5">
        <v>6.2</v>
      </c>
      <c r="G6" s="5">
        <v>96.9</v>
      </c>
      <c r="H6" s="5">
        <v>5</v>
      </c>
      <c r="I6" s="5">
        <v>90.8</v>
      </c>
      <c r="J6" s="5">
        <v>4.7</v>
      </c>
      <c r="K6" s="5">
        <v>87.7</v>
      </c>
      <c r="L6" s="5">
        <v>3.6</v>
      </c>
      <c r="M6" s="5">
        <v>77.8</v>
      </c>
    </row>
    <row r="7" spans="1:13">
      <c r="A7" s="3" t="s">
        <v>17</v>
      </c>
      <c r="B7" s="4">
        <v>47399</v>
      </c>
      <c r="C7" s="5">
        <v>42.7</v>
      </c>
      <c r="D7" s="5">
        <v>1.1000000000000001</v>
      </c>
      <c r="E7" s="5">
        <v>48.5</v>
      </c>
      <c r="F7" s="5">
        <v>0.4</v>
      </c>
      <c r="G7" s="5">
        <v>25.7</v>
      </c>
      <c r="H7" s="5">
        <v>0.3</v>
      </c>
      <c r="I7" s="5">
        <v>18.399999999999999</v>
      </c>
      <c r="J7" s="5">
        <v>0.1</v>
      </c>
      <c r="K7" s="5">
        <v>7.5</v>
      </c>
      <c r="L7" s="5">
        <v>0.1</v>
      </c>
      <c r="M7" s="5">
        <v>6.3</v>
      </c>
    </row>
    <row r="8" spans="1:13">
      <c r="A8" s="3" t="s">
        <v>18</v>
      </c>
      <c r="B8" s="4">
        <v>34210</v>
      </c>
      <c r="C8" s="5">
        <v>60.4</v>
      </c>
      <c r="D8" s="5">
        <v>2.9</v>
      </c>
      <c r="E8" s="5">
        <v>78.400000000000006</v>
      </c>
      <c r="F8" s="5">
        <v>0.8</v>
      </c>
      <c r="G8" s="5">
        <v>37.6</v>
      </c>
      <c r="H8" s="5">
        <v>0.5</v>
      </c>
      <c r="I8" s="5">
        <v>26.3</v>
      </c>
      <c r="J8" s="5">
        <v>0.3</v>
      </c>
      <c r="K8" s="5">
        <v>15.8</v>
      </c>
      <c r="L8" s="5">
        <v>0.2</v>
      </c>
      <c r="M8" s="5">
        <v>9.8000000000000007</v>
      </c>
    </row>
    <row r="9" spans="1:13">
      <c r="A9" s="3" t="s">
        <v>19</v>
      </c>
      <c r="B9" s="4">
        <v>3358</v>
      </c>
      <c r="C9" s="5">
        <v>36.299999999999997</v>
      </c>
      <c r="D9" s="5">
        <v>3.2</v>
      </c>
      <c r="E9" s="5">
        <v>94.2</v>
      </c>
      <c r="F9" s="5">
        <v>3.8</v>
      </c>
      <c r="G9" s="5">
        <v>94.2</v>
      </c>
      <c r="H9" s="5">
        <v>3.4</v>
      </c>
      <c r="I9" s="5">
        <v>94.1</v>
      </c>
      <c r="J9" s="5">
        <v>2.4</v>
      </c>
      <c r="K9" s="5">
        <v>92.8</v>
      </c>
      <c r="L9" s="5">
        <v>2.2000000000000002</v>
      </c>
      <c r="M9" s="5">
        <v>92.8</v>
      </c>
    </row>
    <row r="10" spans="1:13">
      <c r="A10" s="3" t="s">
        <v>20</v>
      </c>
      <c r="B10" s="4">
        <v>34871</v>
      </c>
      <c r="C10" s="5">
        <v>44.2</v>
      </c>
      <c r="D10" s="5">
        <v>7.7</v>
      </c>
      <c r="E10" s="5">
        <v>96.8</v>
      </c>
      <c r="F10" s="5">
        <v>2.2999999999999998</v>
      </c>
      <c r="G10" s="5">
        <v>56.1</v>
      </c>
      <c r="H10" s="5">
        <v>1.8</v>
      </c>
      <c r="I10" s="5">
        <v>48.3</v>
      </c>
      <c r="J10" s="5">
        <v>1.6</v>
      </c>
      <c r="K10" s="5">
        <v>45.3</v>
      </c>
      <c r="L10" s="5">
        <v>1.3</v>
      </c>
      <c r="M10" s="5">
        <v>38.200000000000003</v>
      </c>
    </row>
    <row r="11" spans="1:13">
      <c r="A11" s="3" t="s">
        <v>21</v>
      </c>
      <c r="B11" s="4">
        <v>7600</v>
      </c>
      <c r="C11" s="5">
        <v>17.600000000000001</v>
      </c>
      <c r="D11" s="5">
        <v>8.6999999999999993</v>
      </c>
      <c r="E11" s="5">
        <v>97.7</v>
      </c>
      <c r="F11" s="5">
        <v>3.3</v>
      </c>
      <c r="G11" s="5">
        <v>77.3</v>
      </c>
      <c r="H11" s="5">
        <v>2.4</v>
      </c>
      <c r="I11" s="5">
        <v>71.599999999999994</v>
      </c>
      <c r="J11" s="5">
        <v>1.8</v>
      </c>
      <c r="K11" s="5">
        <v>66.7</v>
      </c>
      <c r="L11" s="5">
        <v>1.3</v>
      </c>
      <c r="M11" s="5">
        <v>56.4</v>
      </c>
    </row>
    <row r="12" spans="1:13">
      <c r="A12" s="3" t="s">
        <v>22</v>
      </c>
      <c r="B12" s="4">
        <v>32188</v>
      </c>
      <c r="C12" s="5">
        <v>71.2</v>
      </c>
      <c r="D12" s="5">
        <v>1.9</v>
      </c>
      <c r="E12" s="5">
        <v>51.3</v>
      </c>
      <c r="F12" s="5">
        <v>0.9</v>
      </c>
      <c r="G12" s="5">
        <v>47.6</v>
      </c>
      <c r="H12" s="5">
        <v>0.7</v>
      </c>
      <c r="I12" s="5">
        <v>47.5</v>
      </c>
      <c r="J12" s="5">
        <v>0.6</v>
      </c>
      <c r="K12" s="5">
        <v>47.5</v>
      </c>
      <c r="L12" s="5">
        <v>0.3</v>
      </c>
      <c r="M12" s="5">
        <v>45.6</v>
      </c>
    </row>
    <row r="13" spans="1:13">
      <c r="A13" s="3" t="s">
        <v>23</v>
      </c>
      <c r="B13" s="4">
        <v>268395</v>
      </c>
      <c r="C13" s="5">
        <v>79.3</v>
      </c>
      <c r="D13" s="5">
        <v>0.7</v>
      </c>
      <c r="E13" s="5">
        <v>47.7</v>
      </c>
      <c r="F13" s="5">
        <v>0.1</v>
      </c>
      <c r="G13" s="5">
        <v>19.100000000000001</v>
      </c>
      <c r="H13" s="5">
        <v>0.1</v>
      </c>
      <c r="I13" s="5">
        <v>16.399999999999999</v>
      </c>
      <c r="J13" s="5">
        <v>0.1</v>
      </c>
      <c r="K13" s="5">
        <v>15.2</v>
      </c>
      <c r="L13" s="5">
        <v>0</v>
      </c>
      <c r="M13" s="5">
        <v>8.8000000000000007</v>
      </c>
    </row>
    <row r="14" spans="1:13">
      <c r="A14" s="3" t="s">
        <v>24</v>
      </c>
      <c r="B14" s="4">
        <v>234568</v>
      </c>
      <c r="C14" s="5">
        <v>42.5</v>
      </c>
      <c r="D14" s="5">
        <v>4.2</v>
      </c>
      <c r="E14" s="5">
        <v>75</v>
      </c>
      <c r="F14" s="5">
        <v>1.4</v>
      </c>
      <c r="G14" s="5">
        <v>44.3</v>
      </c>
      <c r="H14" s="5">
        <v>1.2</v>
      </c>
      <c r="I14" s="5">
        <v>40.4</v>
      </c>
      <c r="J14" s="5">
        <v>0.9</v>
      </c>
      <c r="K14" s="5">
        <v>36.299999999999997</v>
      </c>
      <c r="L14" s="5">
        <v>0.6</v>
      </c>
      <c r="M14" s="5">
        <v>28.7</v>
      </c>
    </row>
    <row r="15" spans="1:13">
      <c r="A15" s="3" t="s">
        <v>25</v>
      </c>
      <c r="B15" s="4">
        <v>158800</v>
      </c>
      <c r="C15" s="5">
        <v>44.5</v>
      </c>
      <c r="D15" s="5">
        <v>11.3</v>
      </c>
      <c r="E15" s="5">
        <v>98.4</v>
      </c>
      <c r="F15" s="5">
        <v>4.0999999999999996</v>
      </c>
      <c r="G15" s="5">
        <v>75</v>
      </c>
      <c r="H15" s="5">
        <v>3.5</v>
      </c>
      <c r="I15" s="5">
        <v>68.099999999999994</v>
      </c>
      <c r="J15" s="5">
        <v>3.4</v>
      </c>
      <c r="K15" s="5">
        <v>66</v>
      </c>
      <c r="L15" s="5">
        <v>2.4</v>
      </c>
      <c r="M15" s="5">
        <v>54.4</v>
      </c>
    </row>
    <row r="16" spans="1:13">
      <c r="A16" s="3" t="s">
        <v>26</v>
      </c>
      <c r="B16" s="4">
        <v>66817</v>
      </c>
      <c r="C16" s="5">
        <v>50.6</v>
      </c>
      <c r="D16" s="5">
        <v>1.2</v>
      </c>
      <c r="E16" s="5">
        <v>47.5</v>
      </c>
      <c r="F16" s="5">
        <v>0.7</v>
      </c>
      <c r="G16" s="5">
        <v>36.200000000000003</v>
      </c>
      <c r="H16" s="5">
        <v>0.6</v>
      </c>
      <c r="I16" s="5">
        <v>32</v>
      </c>
      <c r="J16" s="5">
        <v>0.4</v>
      </c>
      <c r="K16" s="5">
        <v>26.6</v>
      </c>
      <c r="L16" s="5">
        <v>0.3</v>
      </c>
      <c r="M16" s="5">
        <v>24.4</v>
      </c>
    </row>
    <row r="17" spans="1:13">
      <c r="A17" s="3" t="s">
        <v>27</v>
      </c>
      <c r="B17" s="4">
        <v>26238</v>
      </c>
      <c r="C17" s="5">
        <v>28.2</v>
      </c>
      <c r="D17" s="5">
        <v>5</v>
      </c>
      <c r="E17" s="5">
        <v>91.9</v>
      </c>
      <c r="F17" s="5">
        <v>1.4</v>
      </c>
      <c r="G17" s="5">
        <v>59.2</v>
      </c>
      <c r="H17" s="5">
        <v>0.9</v>
      </c>
      <c r="I17" s="5">
        <v>44.7</v>
      </c>
      <c r="J17" s="5">
        <v>0.5</v>
      </c>
      <c r="K17" s="5">
        <v>27.7</v>
      </c>
      <c r="L17" s="5">
        <v>0.3</v>
      </c>
      <c r="M17" s="5">
        <v>15.7</v>
      </c>
    </row>
    <row r="18" spans="1:13">
      <c r="A18" s="3" t="s">
        <v>28</v>
      </c>
      <c r="B18" s="4">
        <v>17283</v>
      </c>
      <c r="C18" s="5">
        <v>24.6</v>
      </c>
      <c r="D18" s="5">
        <v>2.9</v>
      </c>
      <c r="E18" s="5">
        <v>73.8</v>
      </c>
      <c r="F18" s="5">
        <v>2.4</v>
      </c>
      <c r="G18" s="5">
        <v>63.9</v>
      </c>
      <c r="H18" s="5">
        <v>2.2999999999999998</v>
      </c>
      <c r="I18" s="5">
        <v>61.5</v>
      </c>
      <c r="J18" s="5">
        <v>2.2000000000000002</v>
      </c>
      <c r="K18" s="5">
        <v>60.4</v>
      </c>
      <c r="L18" s="5">
        <v>1.4</v>
      </c>
      <c r="M18" s="5">
        <v>48.2</v>
      </c>
    </row>
    <row r="19" spans="1:13">
      <c r="A19" s="3" t="s">
        <v>29</v>
      </c>
      <c r="B19" s="4">
        <v>139016</v>
      </c>
      <c r="C19" s="5">
        <v>46.1</v>
      </c>
      <c r="D19" s="5">
        <v>4.4000000000000004</v>
      </c>
      <c r="E19" s="5">
        <v>68.599999999999994</v>
      </c>
      <c r="F19" s="5">
        <v>2.1</v>
      </c>
      <c r="G19" s="5">
        <v>44.2</v>
      </c>
      <c r="H19" s="5">
        <v>1.7</v>
      </c>
      <c r="I19" s="5">
        <v>39.5</v>
      </c>
      <c r="J19" s="5">
        <v>1.5</v>
      </c>
      <c r="K19" s="5">
        <v>35.700000000000003</v>
      </c>
      <c r="L19" s="5">
        <v>1.2</v>
      </c>
      <c r="M19" s="5">
        <v>32.4</v>
      </c>
    </row>
    <row r="20" spans="1:13">
      <c r="A20" s="3" t="s">
        <v>30</v>
      </c>
      <c r="B20" s="4">
        <v>44707</v>
      </c>
      <c r="C20" s="5">
        <v>69.2</v>
      </c>
      <c r="D20" s="5">
        <v>2.2000000000000002</v>
      </c>
      <c r="E20" s="5">
        <v>50.2</v>
      </c>
      <c r="F20" s="5">
        <v>1.2</v>
      </c>
      <c r="G20" s="5">
        <v>41.3</v>
      </c>
      <c r="H20" s="5">
        <v>1</v>
      </c>
      <c r="I20" s="5">
        <v>40.9</v>
      </c>
      <c r="J20" s="5">
        <v>0.9</v>
      </c>
      <c r="K20" s="5">
        <v>40.799999999999997</v>
      </c>
      <c r="L20" s="5">
        <v>0.6</v>
      </c>
      <c r="M20" s="5">
        <v>40.700000000000003</v>
      </c>
    </row>
    <row r="21" spans="1:13">
      <c r="A21" s="3" t="s">
        <v>31</v>
      </c>
      <c r="B21" s="4">
        <v>28720</v>
      </c>
      <c r="C21" s="5">
        <v>44</v>
      </c>
      <c r="D21" s="5">
        <v>2.9</v>
      </c>
      <c r="E21" s="5">
        <v>77.099999999999994</v>
      </c>
      <c r="F21" s="5">
        <v>1.2</v>
      </c>
      <c r="G21" s="5">
        <v>27.6</v>
      </c>
      <c r="H21" s="5">
        <v>1</v>
      </c>
      <c r="I21" s="5">
        <v>24.3</v>
      </c>
      <c r="J21" s="5">
        <v>0.9</v>
      </c>
      <c r="K21" s="5">
        <v>23.3</v>
      </c>
      <c r="L21" s="5">
        <v>0.7</v>
      </c>
      <c r="M21" s="5">
        <v>21.1</v>
      </c>
    </row>
    <row r="22" spans="1:13">
      <c r="A22" s="3" t="s">
        <v>32</v>
      </c>
      <c r="B22" s="4">
        <v>1541</v>
      </c>
      <c r="C22" s="5">
        <v>59.6</v>
      </c>
      <c r="D22" s="5">
        <v>11.5</v>
      </c>
      <c r="E22" s="5">
        <v>100</v>
      </c>
      <c r="F22" s="5">
        <v>4.2</v>
      </c>
      <c r="G22" s="5">
        <v>90.4</v>
      </c>
      <c r="H22" s="5">
        <v>3.5</v>
      </c>
      <c r="I22" s="5">
        <v>84.2</v>
      </c>
      <c r="J22" s="5">
        <v>3</v>
      </c>
      <c r="K22" s="5">
        <v>76.3</v>
      </c>
      <c r="L22" s="5">
        <v>2.1</v>
      </c>
      <c r="M22" s="5">
        <v>60.9</v>
      </c>
    </row>
    <row r="23" spans="1:13">
      <c r="A23" s="3" t="s">
        <v>33</v>
      </c>
      <c r="B23" s="4">
        <v>9</v>
      </c>
      <c r="C23" s="5">
        <v>2.8</v>
      </c>
      <c r="D23" s="5">
        <v>3.6</v>
      </c>
      <c r="E23" s="5">
        <v>58.2</v>
      </c>
      <c r="F23" s="5">
        <v>2.7</v>
      </c>
      <c r="G23" s="5">
        <v>58.2</v>
      </c>
      <c r="H23" s="5">
        <v>2.2999999999999998</v>
      </c>
      <c r="I23" s="5">
        <v>58.2</v>
      </c>
      <c r="J23" s="5">
        <v>2.2000000000000002</v>
      </c>
      <c r="K23" s="5">
        <v>58.2</v>
      </c>
      <c r="L23" s="5">
        <v>2.1</v>
      </c>
      <c r="M23" s="5">
        <v>58.2</v>
      </c>
    </row>
    <row r="24" spans="1:13">
      <c r="A24" s="3" t="s">
        <v>34</v>
      </c>
      <c r="B24" s="4">
        <v>11366</v>
      </c>
      <c r="C24" s="5">
        <v>27.4</v>
      </c>
      <c r="D24" s="5">
        <v>21.1</v>
      </c>
      <c r="E24" s="5">
        <v>100</v>
      </c>
      <c r="F24" s="5">
        <v>14.5</v>
      </c>
      <c r="G24" s="5">
        <v>99</v>
      </c>
      <c r="H24" s="5">
        <v>13.7</v>
      </c>
      <c r="I24" s="5">
        <v>98.7</v>
      </c>
      <c r="J24" s="5">
        <v>13.5</v>
      </c>
      <c r="K24" s="5">
        <v>98.6</v>
      </c>
      <c r="L24" s="5">
        <v>12.4</v>
      </c>
      <c r="M24" s="5">
        <v>98.3</v>
      </c>
    </row>
    <row r="25" spans="1:13">
      <c r="A25" s="3" t="s">
        <v>35</v>
      </c>
      <c r="B25" s="4">
        <v>117322</v>
      </c>
      <c r="C25" s="5">
        <v>37.5</v>
      </c>
      <c r="D25" s="5">
        <v>7.3</v>
      </c>
      <c r="E25" s="5">
        <v>94.6</v>
      </c>
      <c r="F25" s="5">
        <v>3</v>
      </c>
      <c r="G25" s="5">
        <v>74.3</v>
      </c>
      <c r="H25" s="5">
        <v>2.1</v>
      </c>
      <c r="I25" s="5">
        <v>62.8</v>
      </c>
      <c r="J25" s="5">
        <v>1.5</v>
      </c>
      <c r="K25" s="5">
        <v>49</v>
      </c>
      <c r="L25" s="5">
        <v>1</v>
      </c>
      <c r="M25" s="5">
        <v>34.299999999999997</v>
      </c>
    </row>
    <row r="26" spans="1:13">
      <c r="A26" s="3" t="s">
        <v>36</v>
      </c>
      <c r="B26" s="4">
        <v>44976</v>
      </c>
      <c r="C26" s="5">
        <v>48.8</v>
      </c>
      <c r="D26" s="5">
        <v>1.1000000000000001</v>
      </c>
      <c r="E26" s="5">
        <v>33.6</v>
      </c>
      <c r="F26" s="5">
        <v>0.5</v>
      </c>
      <c r="G26" s="5">
        <v>23.8</v>
      </c>
      <c r="H26" s="5">
        <v>0.4</v>
      </c>
      <c r="I26" s="5">
        <v>21.8</v>
      </c>
      <c r="J26" s="5">
        <v>0.3</v>
      </c>
      <c r="K26" s="5">
        <v>17.899999999999999</v>
      </c>
      <c r="L26" s="5">
        <v>0.2</v>
      </c>
      <c r="M26" s="5">
        <v>12.4</v>
      </c>
    </row>
    <row r="27" spans="1:13">
      <c r="A27" s="3" t="s">
        <v>37</v>
      </c>
      <c r="B27" s="4">
        <v>96882</v>
      </c>
      <c r="C27" s="5">
        <v>40.6</v>
      </c>
      <c r="D27" s="5">
        <v>1</v>
      </c>
      <c r="E27" s="5">
        <v>39.700000000000003</v>
      </c>
      <c r="F27" s="5">
        <v>0.3</v>
      </c>
      <c r="G27" s="5">
        <v>15.6</v>
      </c>
      <c r="H27" s="5">
        <v>0.3</v>
      </c>
      <c r="I27" s="5">
        <v>11.1</v>
      </c>
      <c r="J27" s="5">
        <v>0.2</v>
      </c>
      <c r="K27" s="5">
        <v>8.1999999999999993</v>
      </c>
      <c r="L27" s="5">
        <v>0.2</v>
      </c>
      <c r="M27" s="5">
        <v>7.2</v>
      </c>
    </row>
    <row r="28" spans="1:13">
      <c r="A28" s="3" t="s">
        <v>38</v>
      </c>
      <c r="B28" s="4">
        <v>24117</v>
      </c>
      <c r="C28" s="5">
        <v>50.2</v>
      </c>
      <c r="D28" s="5">
        <v>2.8</v>
      </c>
      <c r="E28" s="5">
        <v>83.4</v>
      </c>
      <c r="F28" s="5">
        <v>0.4</v>
      </c>
      <c r="G28" s="5">
        <v>18.600000000000001</v>
      </c>
      <c r="H28" s="5">
        <v>0.3</v>
      </c>
      <c r="I28" s="5">
        <v>12.1</v>
      </c>
      <c r="J28" s="5">
        <v>0.2</v>
      </c>
      <c r="K28" s="5">
        <v>8.9</v>
      </c>
      <c r="L28" s="5">
        <v>0.1</v>
      </c>
      <c r="M28" s="5">
        <v>6.6</v>
      </c>
    </row>
    <row r="29" spans="1:13">
      <c r="A29" s="3" t="s">
        <v>39</v>
      </c>
      <c r="B29" s="4">
        <v>13383</v>
      </c>
      <c r="C29" s="5">
        <v>66</v>
      </c>
      <c r="D29" s="5">
        <v>6.9</v>
      </c>
      <c r="E29" s="5">
        <v>98.7</v>
      </c>
      <c r="F29" s="5">
        <v>2.4</v>
      </c>
      <c r="G29" s="5">
        <v>69.599999999999994</v>
      </c>
      <c r="H29" s="5">
        <v>1.7</v>
      </c>
      <c r="I29" s="5">
        <v>59.4</v>
      </c>
      <c r="J29" s="5">
        <v>1.4</v>
      </c>
      <c r="K29" s="5">
        <v>49.2</v>
      </c>
      <c r="L29" s="5">
        <v>0.8</v>
      </c>
      <c r="M29" s="5">
        <v>32.9</v>
      </c>
    </row>
    <row r="30" spans="1:13">
      <c r="A30" s="3" t="s">
        <v>40</v>
      </c>
      <c r="B30" s="4">
        <v>235123</v>
      </c>
      <c r="C30" s="5">
        <v>46.5</v>
      </c>
      <c r="D30" s="5">
        <v>3.2</v>
      </c>
      <c r="E30" s="5">
        <v>61.9</v>
      </c>
      <c r="F30" s="5">
        <v>1.9</v>
      </c>
      <c r="G30" s="5">
        <v>49.8</v>
      </c>
      <c r="H30" s="5">
        <v>1.8</v>
      </c>
      <c r="I30" s="5">
        <v>47.9</v>
      </c>
      <c r="J30" s="5">
        <v>1.2</v>
      </c>
      <c r="K30" s="5">
        <v>40.1</v>
      </c>
      <c r="L30" s="5">
        <v>0.9</v>
      </c>
      <c r="M30" s="5">
        <v>33.700000000000003</v>
      </c>
    </row>
    <row r="31" spans="1:13">
      <c r="A31" s="3" t="s">
        <v>41</v>
      </c>
      <c r="B31" s="4">
        <v>357426</v>
      </c>
      <c r="C31" s="5">
        <v>79.400000000000006</v>
      </c>
      <c r="D31" s="5">
        <v>0.7</v>
      </c>
      <c r="E31" s="5">
        <v>31.2</v>
      </c>
      <c r="F31" s="5">
        <v>0.2</v>
      </c>
      <c r="G31" s="5">
        <v>14.6</v>
      </c>
      <c r="H31" s="5">
        <v>0.1</v>
      </c>
      <c r="I31" s="5">
        <v>13.2</v>
      </c>
      <c r="J31" s="5">
        <v>0.1</v>
      </c>
      <c r="K31" s="5">
        <v>12.6</v>
      </c>
      <c r="L31" s="5">
        <v>0.1</v>
      </c>
      <c r="M31" s="5">
        <v>10.3</v>
      </c>
    </row>
    <row r="32" spans="1:13">
      <c r="A32" s="6" t="s">
        <v>42</v>
      </c>
      <c r="B32" s="7">
        <v>2115145</v>
      </c>
      <c r="C32" s="8">
        <v>51</v>
      </c>
      <c r="D32" s="8">
        <v>2.2999999999999998</v>
      </c>
      <c r="E32" s="8">
        <v>60.3</v>
      </c>
      <c r="F32" s="8">
        <v>0.7</v>
      </c>
      <c r="G32" s="8">
        <v>38.200000000000003</v>
      </c>
      <c r="H32" s="8">
        <v>0.6</v>
      </c>
      <c r="I32" s="8">
        <v>34</v>
      </c>
      <c r="J32" s="8">
        <v>0.5</v>
      </c>
      <c r="K32" s="8">
        <v>30.1</v>
      </c>
      <c r="L32" s="8">
        <v>0.3</v>
      </c>
      <c r="M32" s="8">
        <v>24.3</v>
      </c>
    </row>
    <row r="33" spans="1:13">
      <c r="A33" s="3" t="s">
        <v>43</v>
      </c>
      <c r="B33" s="4">
        <v>422</v>
      </c>
      <c r="C33" s="5">
        <v>90.1</v>
      </c>
      <c r="D33" s="5">
        <v>0.5</v>
      </c>
      <c r="E33" s="5">
        <v>44.7</v>
      </c>
      <c r="F33" s="5">
        <v>0.2</v>
      </c>
      <c r="G33" s="5">
        <v>20.3</v>
      </c>
      <c r="H33" s="5">
        <v>0.2</v>
      </c>
      <c r="I33" s="5">
        <v>20.3</v>
      </c>
      <c r="J33" s="5">
        <v>0.1</v>
      </c>
      <c r="K33" s="5">
        <v>16.600000000000001</v>
      </c>
      <c r="L33" s="5">
        <v>0.1</v>
      </c>
      <c r="M33" s="5">
        <v>11.3</v>
      </c>
    </row>
    <row r="34" spans="1:13">
      <c r="A34" s="3" t="s">
        <v>44</v>
      </c>
      <c r="B34" s="4">
        <v>58715</v>
      </c>
      <c r="C34" s="5">
        <v>57</v>
      </c>
      <c r="D34" s="5">
        <v>0</v>
      </c>
      <c r="E34" s="5">
        <v>2.1</v>
      </c>
      <c r="F34" s="5">
        <v>0</v>
      </c>
      <c r="G34" s="5">
        <v>0.2</v>
      </c>
      <c r="H34" s="5">
        <v>0</v>
      </c>
      <c r="I34" s="5">
        <v>0.2</v>
      </c>
      <c r="J34" s="5">
        <v>0</v>
      </c>
      <c r="K34" s="5">
        <v>0.2</v>
      </c>
      <c r="L34" s="5">
        <v>0</v>
      </c>
      <c r="M34" s="5">
        <v>0</v>
      </c>
    </row>
    <row r="35" spans="1:13">
      <c r="A35" s="3" t="s">
        <v>45</v>
      </c>
      <c r="B35" s="4">
        <v>100</v>
      </c>
      <c r="C35" s="5">
        <v>62.6</v>
      </c>
      <c r="D35" s="5">
        <v>6.2</v>
      </c>
      <c r="E35" s="5">
        <v>99.7</v>
      </c>
      <c r="F35" s="5">
        <v>2.2000000000000002</v>
      </c>
      <c r="G35" s="5">
        <v>78.5</v>
      </c>
      <c r="H35" s="5">
        <v>1.7</v>
      </c>
      <c r="I35" s="5">
        <v>47.9</v>
      </c>
      <c r="J35" s="5">
        <v>1.7</v>
      </c>
      <c r="K35" s="5">
        <v>42.2</v>
      </c>
      <c r="L35" s="5">
        <v>1.4</v>
      </c>
      <c r="M35" s="5">
        <v>42.2</v>
      </c>
    </row>
    <row r="36" spans="1:13">
      <c r="A36" s="3" t="s">
        <v>46</v>
      </c>
      <c r="B36" s="4">
        <v>209373</v>
      </c>
      <c r="C36" s="5">
        <v>54.4</v>
      </c>
      <c r="D36" s="5">
        <v>0.4</v>
      </c>
      <c r="E36" s="5">
        <v>16.600000000000001</v>
      </c>
      <c r="F36" s="5">
        <v>0.1</v>
      </c>
      <c r="G36" s="5">
        <v>7.4</v>
      </c>
      <c r="H36" s="5">
        <v>0.1</v>
      </c>
      <c r="I36" s="5">
        <v>6.2</v>
      </c>
      <c r="J36" s="5">
        <v>0.1</v>
      </c>
      <c r="K36" s="5">
        <v>5.5</v>
      </c>
      <c r="L36" s="5">
        <v>0</v>
      </c>
      <c r="M36" s="5">
        <v>4</v>
      </c>
    </row>
    <row r="37" spans="1:13">
      <c r="A37" s="3" t="s">
        <v>47</v>
      </c>
      <c r="B37" s="4">
        <v>13</v>
      </c>
      <c r="C37" s="5">
        <v>21.4</v>
      </c>
      <c r="D37" s="5">
        <v>4.2</v>
      </c>
      <c r="E37" s="5">
        <v>99</v>
      </c>
      <c r="F37" s="5">
        <v>0.9</v>
      </c>
      <c r="G37" s="5">
        <v>99</v>
      </c>
      <c r="H37" s="5">
        <v>0.1</v>
      </c>
      <c r="I37" s="5">
        <v>8.5</v>
      </c>
      <c r="J37" s="5">
        <v>0</v>
      </c>
      <c r="K37" s="5">
        <v>1.2</v>
      </c>
      <c r="L37" s="5">
        <v>0</v>
      </c>
      <c r="M37" s="5">
        <v>1.2</v>
      </c>
    </row>
    <row r="38" spans="1:13">
      <c r="A38" s="3" t="s">
        <v>48</v>
      </c>
      <c r="B38" s="4">
        <v>22305</v>
      </c>
      <c r="C38" s="5">
        <v>54</v>
      </c>
      <c r="D38" s="5">
        <v>6.9</v>
      </c>
      <c r="E38" s="5">
        <v>69.8</v>
      </c>
      <c r="F38" s="5">
        <v>4.0999999999999996</v>
      </c>
      <c r="G38" s="5">
        <v>55.9</v>
      </c>
      <c r="H38" s="5">
        <v>3.4</v>
      </c>
      <c r="I38" s="5">
        <v>53</v>
      </c>
      <c r="J38" s="5">
        <v>3.3</v>
      </c>
      <c r="K38" s="5">
        <v>51.4</v>
      </c>
      <c r="L38" s="5">
        <v>2.8</v>
      </c>
      <c r="M38" s="5">
        <v>48.2</v>
      </c>
    </row>
    <row r="39" spans="1:13">
      <c r="A39" s="3" t="s">
        <v>49</v>
      </c>
      <c r="B39" s="4">
        <v>63632</v>
      </c>
      <c r="C39" s="5">
        <v>26.2</v>
      </c>
      <c r="D39" s="5">
        <v>2</v>
      </c>
      <c r="E39" s="5">
        <v>43.5</v>
      </c>
      <c r="F39" s="5">
        <v>0.8</v>
      </c>
      <c r="G39" s="5">
        <v>27.2</v>
      </c>
      <c r="H39" s="5">
        <v>0.5</v>
      </c>
      <c r="I39" s="5">
        <v>22.5</v>
      </c>
      <c r="J39" s="5">
        <v>0.5</v>
      </c>
      <c r="K39" s="5">
        <v>22</v>
      </c>
      <c r="L39" s="5">
        <v>0.3</v>
      </c>
      <c r="M39" s="5">
        <v>16.899999999999999</v>
      </c>
    </row>
    <row r="40" spans="1:13">
      <c r="A40" s="6" t="s">
        <v>50</v>
      </c>
      <c r="B40" s="7">
        <v>354560</v>
      </c>
      <c r="C40" s="8">
        <v>45.9</v>
      </c>
      <c r="D40" s="8">
        <v>0.9</v>
      </c>
      <c r="E40" s="8">
        <v>22.4</v>
      </c>
      <c r="F40" s="8">
        <v>0.4</v>
      </c>
      <c r="G40" s="8">
        <v>12.8</v>
      </c>
      <c r="H40" s="8">
        <v>0.3</v>
      </c>
      <c r="I40" s="8">
        <v>11.1</v>
      </c>
      <c r="J40" s="8">
        <v>0.3</v>
      </c>
      <c r="K40" s="8">
        <v>10.5</v>
      </c>
      <c r="L40" s="8">
        <v>0.2</v>
      </c>
      <c r="M40" s="8">
        <v>8.4</v>
      </c>
    </row>
    <row r="41" spans="1:13">
      <c r="A41" s="3" t="s">
        <v>51</v>
      </c>
      <c r="B41" s="4">
        <v>17353</v>
      </c>
      <c r="C41" s="5">
        <v>60.4</v>
      </c>
      <c r="D41" s="5">
        <v>2.1</v>
      </c>
      <c r="E41" s="5">
        <v>57</v>
      </c>
      <c r="F41" s="5">
        <v>1.6</v>
      </c>
      <c r="G41" s="5">
        <v>46.1</v>
      </c>
      <c r="H41" s="5">
        <v>1.4</v>
      </c>
      <c r="I41" s="5">
        <v>42.5</v>
      </c>
      <c r="J41" s="5">
        <v>0.9</v>
      </c>
      <c r="K41" s="5">
        <v>34.6</v>
      </c>
      <c r="L41" s="5">
        <v>0.9</v>
      </c>
      <c r="M41" s="5">
        <v>33</v>
      </c>
    </row>
    <row r="42" spans="1:13">
      <c r="A42" s="3" t="s">
        <v>52</v>
      </c>
      <c r="B42" s="4">
        <v>33596</v>
      </c>
      <c r="C42" s="5">
        <v>65.599999999999994</v>
      </c>
      <c r="D42" s="5">
        <v>1.9</v>
      </c>
      <c r="E42" s="5">
        <v>55.6</v>
      </c>
      <c r="F42" s="5">
        <v>0.8</v>
      </c>
      <c r="G42" s="5">
        <v>35.799999999999997</v>
      </c>
      <c r="H42" s="5">
        <v>0.5</v>
      </c>
      <c r="I42" s="5">
        <v>27.1</v>
      </c>
      <c r="J42" s="5">
        <v>0.3</v>
      </c>
      <c r="K42" s="5">
        <v>20.2</v>
      </c>
      <c r="L42" s="5">
        <v>0.2</v>
      </c>
      <c r="M42" s="5">
        <v>11.1</v>
      </c>
    </row>
    <row r="43" spans="1:13">
      <c r="A43" s="3" t="s">
        <v>53</v>
      </c>
      <c r="B43" s="4">
        <v>5937</v>
      </c>
      <c r="C43" s="5">
        <v>54.5</v>
      </c>
      <c r="D43" s="5">
        <v>1</v>
      </c>
      <c r="E43" s="5">
        <v>50</v>
      </c>
      <c r="F43" s="5">
        <v>0.2</v>
      </c>
      <c r="G43" s="5">
        <v>10.5</v>
      </c>
      <c r="H43" s="5">
        <v>0.2</v>
      </c>
      <c r="I43" s="5">
        <v>8.6999999999999993</v>
      </c>
      <c r="J43" s="5">
        <v>0.1</v>
      </c>
      <c r="K43" s="5">
        <v>6.2</v>
      </c>
      <c r="L43" s="5">
        <v>0.1</v>
      </c>
      <c r="M43" s="5">
        <v>5.7</v>
      </c>
    </row>
    <row r="44" spans="1:13">
      <c r="A44" s="3" t="s">
        <v>54</v>
      </c>
      <c r="B44" s="4">
        <v>10650</v>
      </c>
      <c r="C44" s="5">
        <v>77.099999999999994</v>
      </c>
      <c r="D44" s="5">
        <v>0.7</v>
      </c>
      <c r="E44" s="5">
        <v>24.6</v>
      </c>
      <c r="F44" s="5">
        <v>0.4</v>
      </c>
      <c r="G44" s="5">
        <v>18.8</v>
      </c>
      <c r="H44" s="5">
        <v>0.3</v>
      </c>
      <c r="I44" s="5">
        <v>15.9</v>
      </c>
      <c r="J44" s="5">
        <v>0.3</v>
      </c>
      <c r="K44" s="5">
        <v>14.1</v>
      </c>
      <c r="L44" s="5">
        <v>0.2</v>
      </c>
      <c r="M44" s="5">
        <v>13.1</v>
      </c>
    </row>
    <row r="45" spans="1:13">
      <c r="A45" s="3" t="s">
        <v>55</v>
      </c>
      <c r="B45" s="4">
        <v>15525</v>
      </c>
      <c r="C45" s="5">
        <v>60.4</v>
      </c>
      <c r="D45" s="5">
        <v>0.5</v>
      </c>
      <c r="E45" s="5">
        <v>24.2</v>
      </c>
      <c r="F45" s="5">
        <v>0.2</v>
      </c>
      <c r="G45" s="5">
        <v>11</v>
      </c>
      <c r="H45" s="5">
        <v>0.1</v>
      </c>
      <c r="I45" s="5">
        <v>8.4</v>
      </c>
      <c r="J45" s="5">
        <v>0.1</v>
      </c>
      <c r="K45" s="5">
        <v>7.1</v>
      </c>
      <c r="L45" s="5">
        <v>0.1</v>
      </c>
      <c r="M45" s="5">
        <v>6.3</v>
      </c>
    </row>
    <row r="46" spans="1:13">
      <c r="A46" s="3" t="s">
        <v>56</v>
      </c>
      <c r="B46" s="4">
        <v>33237</v>
      </c>
      <c r="C46" s="5">
        <v>42.9</v>
      </c>
      <c r="D46" s="5">
        <v>2.8</v>
      </c>
      <c r="E46" s="5">
        <v>69.2</v>
      </c>
      <c r="F46" s="5">
        <v>1</v>
      </c>
      <c r="G46" s="5">
        <v>39.700000000000003</v>
      </c>
      <c r="H46" s="5">
        <v>0.6</v>
      </c>
      <c r="I46" s="5">
        <v>29.1</v>
      </c>
      <c r="J46" s="5">
        <v>0.4</v>
      </c>
      <c r="K46" s="5">
        <v>19.5</v>
      </c>
      <c r="L46" s="5">
        <v>0.2</v>
      </c>
      <c r="M46" s="5">
        <v>12.3</v>
      </c>
    </row>
    <row r="47" spans="1:13">
      <c r="A47" s="6" t="s">
        <v>57</v>
      </c>
      <c r="B47" s="7">
        <v>116298</v>
      </c>
      <c r="C47" s="8">
        <v>56</v>
      </c>
      <c r="D47" s="8">
        <v>1.8</v>
      </c>
      <c r="E47" s="8">
        <v>52.4</v>
      </c>
      <c r="F47" s="8">
        <v>0.8</v>
      </c>
      <c r="G47" s="8">
        <v>32.299999999999997</v>
      </c>
      <c r="H47" s="8">
        <v>0.5</v>
      </c>
      <c r="I47" s="8">
        <v>25.5</v>
      </c>
      <c r="J47" s="8">
        <v>0.3</v>
      </c>
      <c r="K47" s="8">
        <v>19.100000000000001</v>
      </c>
      <c r="L47" s="8">
        <v>0.2</v>
      </c>
      <c r="M47" s="8">
        <v>14</v>
      </c>
    </row>
    <row r="48" spans="1:13">
      <c r="A48" s="3" t="s">
        <v>58</v>
      </c>
      <c r="B48" s="4">
        <v>11065</v>
      </c>
      <c r="C48" s="5">
        <v>37.200000000000003</v>
      </c>
      <c r="D48" s="5">
        <v>3.6</v>
      </c>
      <c r="E48" s="5">
        <v>77.7</v>
      </c>
      <c r="F48" s="5">
        <v>5.9</v>
      </c>
      <c r="G48" s="5">
        <v>94.4</v>
      </c>
      <c r="H48" s="5">
        <v>4.9000000000000004</v>
      </c>
      <c r="I48" s="5">
        <v>83.9</v>
      </c>
      <c r="J48" s="5">
        <v>4.0999999999999996</v>
      </c>
      <c r="K48" s="5">
        <v>75.099999999999994</v>
      </c>
      <c r="L48" s="5">
        <v>4</v>
      </c>
      <c r="M48" s="5">
        <v>73.599999999999994</v>
      </c>
    </row>
    <row r="49" spans="1:13">
      <c r="A49" s="3" t="s">
        <v>59</v>
      </c>
      <c r="B49" s="4">
        <v>28073</v>
      </c>
      <c r="C49" s="5">
        <v>32.4</v>
      </c>
      <c r="D49" s="5">
        <v>2.2000000000000002</v>
      </c>
      <c r="E49" s="5">
        <v>75.599999999999994</v>
      </c>
      <c r="F49" s="5">
        <v>3.7</v>
      </c>
      <c r="G49" s="5">
        <v>87.6</v>
      </c>
      <c r="H49" s="5">
        <v>2.7</v>
      </c>
      <c r="I49" s="5">
        <v>78.900000000000006</v>
      </c>
      <c r="J49" s="5">
        <v>2.1</v>
      </c>
      <c r="K49" s="5">
        <v>73</v>
      </c>
      <c r="L49" s="5">
        <v>1.8</v>
      </c>
      <c r="M49" s="5">
        <v>67.099999999999994</v>
      </c>
    </row>
    <row r="50" spans="1:13">
      <c r="A50" s="3" t="s">
        <v>60</v>
      </c>
      <c r="B50" s="4">
        <v>117179</v>
      </c>
      <c r="C50" s="5">
        <v>56.4</v>
      </c>
      <c r="D50" s="5">
        <v>4.3</v>
      </c>
      <c r="E50" s="5">
        <v>88.6</v>
      </c>
      <c r="F50" s="5">
        <v>3</v>
      </c>
      <c r="G50" s="5">
        <v>77.599999999999994</v>
      </c>
      <c r="H50" s="5">
        <v>2.4</v>
      </c>
      <c r="I50" s="5">
        <v>65</v>
      </c>
      <c r="J50" s="5">
        <v>1.7</v>
      </c>
      <c r="K50" s="5">
        <v>47.9</v>
      </c>
      <c r="L50" s="5">
        <v>1.2</v>
      </c>
      <c r="M50" s="5">
        <v>35.9</v>
      </c>
    </row>
    <row r="51" spans="1:13">
      <c r="A51" s="3" t="s">
        <v>61</v>
      </c>
      <c r="B51" s="4">
        <v>49175</v>
      </c>
      <c r="C51" s="5">
        <v>71.3</v>
      </c>
      <c r="D51" s="5">
        <v>1.9</v>
      </c>
      <c r="E51" s="5">
        <v>63.3</v>
      </c>
      <c r="F51" s="5">
        <v>2.4</v>
      </c>
      <c r="G51" s="5">
        <v>73</v>
      </c>
      <c r="H51" s="5">
        <v>1.8</v>
      </c>
      <c r="I51" s="5">
        <v>64.599999999999994</v>
      </c>
      <c r="J51" s="5">
        <v>1.1000000000000001</v>
      </c>
      <c r="K51" s="5">
        <v>47.2</v>
      </c>
      <c r="L51" s="5">
        <v>0.9</v>
      </c>
      <c r="M51" s="5">
        <v>41.2</v>
      </c>
    </row>
    <row r="52" spans="1:13">
      <c r="A52" s="3" t="s">
        <v>62</v>
      </c>
      <c r="B52" s="4">
        <v>900333</v>
      </c>
      <c r="C52" s="5">
        <v>33</v>
      </c>
      <c r="D52" s="5">
        <v>0</v>
      </c>
      <c r="E52" s="5">
        <v>3.8</v>
      </c>
      <c r="F52" s="5">
        <v>0.1</v>
      </c>
      <c r="G52" s="5">
        <v>5.5</v>
      </c>
      <c r="H52" s="5">
        <v>0.1</v>
      </c>
      <c r="I52" s="5">
        <v>4.5</v>
      </c>
      <c r="J52" s="5">
        <v>0</v>
      </c>
      <c r="K52" s="5">
        <v>3.7</v>
      </c>
      <c r="L52" s="5">
        <v>0</v>
      </c>
      <c r="M52" s="5">
        <v>3.4</v>
      </c>
    </row>
    <row r="53" spans="1:13">
      <c r="A53" s="3" t="s">
        <v>63</v>
      </c>
      <c r="B53" s="4">
        <v>53814</v>
      </c>
      <c r="C53" s="5">
        <v>26.9</v>
      </c>
      <c r="D53" s="5">
        <v>1.3</v>
      </c>
      <c r="E53" s="5">
        <v>31.5</v>
      </c>
      <c r="F53" s="5">
        <v>2.2000000000000002</v>
      </c>
      <c r="G53" s="5">
        <v>42.1</v>
      </c>
      <c r="H53" s="5">
        <v>1.6</v>
      </c>
      <c r="I53" s="5">
        <v>37.1</v>
      </c>
      <c r="J53" s="5">
        <v>1.3</v>
      </c>
      <c r="K53" s="5">
        <v>31.7</v>
      </c>
      <c r="L53" s="5">
        <v>1.2</v>
      </c>
      <c r="M53" s="5">
        <v>30.2</v>
      </c>
    </row>
    <row r="54" spans="1:13">
      <c r="A54" s="3" t="s">
        <v>64</v>
      </c>
      <c r="B54" s="4">
        <v>4266</v>
      </c>
      <c r="C54" s="5">
        <v>12.6</v>
      </c>
      <c r="D54" s="5">
        <v>1.1000000000000001</v>
      </c>
      <c r="E54" s="5">
        <v>55.9</v>
      </c>
      <c r="F54" s="5">
        <v>0.9</v>
      </c>
      <c r="G54" s="5">
        <v>57.4</v>
      </c>
      <c r="H54" s="5">
        <v>0.4</v>
      </c>
      <c r="I54" s="5">
        <v>26.5</v>
      </c>
      <c r="J54" s="5">
        <v>0.1</v>
      </c>
      <c r="K54" s="5">
        <v>9.6</v>
      </c>
      <c r="L54" s="5">
        <v>0</v>
      </c>
      <c r="M54" s="5">
        <v>2.8</v>
      </c>
    </row>
    <row r="55" spans="1:13">
      <c r="A55" s="3" t="s">
        <v>65</v>
      </c>
      <c r="B55" s="4">
        <v>3323814</v>
      </c>
      <c r="C55" s="5">
        <v>19.399999999999999</v>
      </c>
      <c r="D55" s="5">
        <v>0.1</v>
      </c>
      <c r="E55" s="5">
        <v>22.3</v>
      </c>
      <c r="F55" s="5">
        <v>0</v>
      </c>
      <c r="G55" s="5">
        <v>20.7</v>
      </c>
      <c r="H55" s="5">
        <v>0</v>
      </c>
      <c r="I55" s="5">
        <v>17.899999999999999</v>
      </c>
      <c r="J55" s="5">
        <v>0</v>
      </c>
      <c r="K55" s="5">
        <v>17.100000000000001</v>
      </c>
      <c r="L55" s="5">
        <v>0</v>
      </c>
      <c r="M55" s="5">
        <v>12.3</v>
      </c>
    </row>
    <row r="56" spans="1:13">
      <c r="A56" s="3" t="s">
        <v>66</v>
      </c>
      <c r="B56" s="4">
        <v>32965</v>
      </c>
      <c r="C56" s="5">
        <v>23</v>
      </c>
      <c r="D56" s="5">
        <v>1.6</v>
      </c>
      <c r="E56" s="5">
        <v>54.8</v>
      </c>
      <c r="F56" s="5">
        <v>3</v>
      </c>
      <c r="G56" s="5">
        <v>64.5</v>
      </c>
      <c r="H56" s="5">
        <v>2.2999999999999998</v>
      </c>
      <c r="I56" s="5">
        <v>60.6</v>
      </c>
      <c r="J56" s="5">
        <v>1.8</v>
      </c>
      <c r="K56" s="5">
        <v>57.7</v>
      </c>
      <c r="L56" s="5">
        <v>1.7</v>
      </c>
      <c r="M56" s="5">
        <v>56.8</v>
      </c>
    </row>
    <row r="57" spans="1:13">
      <c r="A57" s="3" t="s">
        <v>67</v>
      </c>
      <c r="B57" s="4">
        <v>309969</v>
      </c>
      <c r="C57" s="5">
        <v>39.6</v>
      </c>
      <c r="D57" s="5">
        <v>2.9</v>
      </c>
      <c r="E57" s="5">
        <v>62.7</v>
      </c>
      <c r="F57" s="5">
        <v>5.2</v>
      </c>
      <c r="G57" s="5">
        <v>81.7</v>
      </c>
      <c r="H57" s="5">
        <v>4.0999999999999996</v>
      </c>
      <c r="I57" s="5">
        <v>76.599999999999994</v>
      </c>
      <c r="J57" s="5">
        <v>2.4</v>
      </c>
      <c r="K57" s="5">
        <v>58.9</v>
      </c>
      <c r="L57" s="5">
        <v>2.2999999999999998</v>
      </c>
      <c r="M57" s="5">
        <v>57.4</v>
      </c>
    </row>
    <row r="58" spans="1:13">
      <c r="A58" s="3" t="s">
        <v>68</v>
      </c>
      <c r="B58" s="4">
        <v>121356</v>
      </c>
      <c r="C58" s="5">
        <v>24.9</v>
      </c>
      <c r="D58" s="5">
        <v>0.3</v>
      </c>
      <c r="E58" s="5">
        <v>25.9</v>
      </c>
      <c r="F58" s="5">
        <v>0.8</v>
      </c>
      <c r="G58" s="5">
        <v>45.1</v>
      </c>
      <c r="H58" s="5">
        <v>0.5</v>
      </c>
      <c r="I58" s="5">
        <v>34.4</v>
      </c>
      <c r="J58" s="5">
        <v>0.4</v>
      </c>
      <c r="K58" s="5">
        <v>24.8</v>
      </c>
      <c r="L58" s="5">
        <v>0.3</v>
      </c>
      <c r="M58" s="5">
        <v>22.3</v>
      </c>
    </row>
    <row r="59" spans="1:13">
      <c r="A59" s="3" t="s">
        <v>69</v>
      </c>
      <c r="B59" s="4">
        <v>147653</v>
      </c>
      <c r="C59" s="5">
        <v>24.5</v>
      </c>
      <c r="D59" s="5">
        <v>2.5</v>
      </c>
      <c r="E59" s="5">
        <v>62.2</v>
      </c>
      <c r="F59" s="5">
        <v>1.7</v>
      </c>
      <c r="G59" s="5">
        <v>51.9</v>
      </c>
      <c r="H59" s="5">
        <v>1.1000000000000001</v>
      </c>
      <c r="I59" s="5">
        <v>41.4</v>
      </c>
      <c r="J59" s="5">
        <v>0.9</v>
      </c>
      <c r="K59" s="5">
        <v>30.6</v>
      </c>
      <c r="L59" s="5">
        <v>0.6</v>
      </c>
      <c r="M59" s="5">
        <v>22</v>
      </c>
    </row>
    <row r="60" spans="1:13">
      <c r="A60" s="3" t="s">
        <v>70</v>
      </c>
      <c r="B60" s="4">
        <v>116913</v>
      </c>
      <c r="C60" s="5">
        <v>26</v>
      </c>
      <c r="D60" s="5">
        <v>1.3</v>
      </c>
      <c r="E60" s="5">
        <v>42.3</v>
      </c>
      <c r="F60" s="5">
        <v>2.1</v>
      </c>
      <c r="G60" s="5">
        <v>49.3</v>
      </c>
      <c r="H60" s="5">
        <v>1.5</v>
      </c>
      <c r="I60" s="5">
        <v>43.3</v>
      </c>
      <c r="J60" s="5">
        <v>1.2</v>
      </c>
      <c r="K60" s="5">
        <v>40.200000000000003</v>
      </c>
      <c r="L60" s="5">
        <v>1.1000000000000001</v>
      </c>
      <c r="M60" s="5">
        <v>39</v>
      </c>
    </row>
    <row r="61" spans="1:13">
      <c r="A61" s="6" t="s">
        <v>71</v>
      </c>
      <c r="B61" s="7">
        <v>5216576</v>
      </c>
      <c r="C61" s="8">
        <v>22.8</v>
      </c>
      <c r="D61" s="8">
        <v>0.1</v>
      </c>
      <c r="E61" s="8">
        <v>25</v>
      </c>
      <c r="F61" s="8">
        <v>0.3</v>
      </c>
      <c r="G61" s="8">
        <v>25.7</v>
      </c>
      <c r="H61" s="8">
        <v>0.2</v>
      </c>
      <c r="I61" s="8">
        <v>22.3</v>
      </c>
      <c r="J61" s="8">
        <v>0.1</v>
      </c>
      <c r="K61" s="8">
        <v>19.5</v>
      </c>
      <c r="L61" s="8">
        <v>0.1</v>
      </c>
      <c r="M61" s="8">
        <v>15.7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93F6-9C35-4B59-987E-655C823F7E5D}">
  <dimension ref="A1:L21"/>
  <sheetViews>
    <sheetView workbookViewId="0">
      <selection activeCell="B6" sqref="B6"/>
    </sheetView>
  </sheetViews>
  <sheetFormatPr defaultRowHeight="13.8"/>
  <cols>
    <col min="1" max="1" width="55" style="13" customWidth="1"/>
    <col min="2" max="2" width="14" style="13" customWidth="1"/>
    <col min="3" max="12" width="13" style="13" customWidth="1"/>
    <col min="13" max="16384" width="8.796875" style="13"/>
  </cols>
  <sheetData>
    <row r="1" spans="1:12" ht="19.2" customHeight="1">
      <c r="A1" s="23" t="s">
        <v>116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9.2" customHeight="1">
      <c r="A2" s="22" t="s">
        <v>115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spans="1:12" ht="30.45" customHeight="1">
      <c r="A4" s="21" t="s">
        <v>114</v>
      </c>
      <c r="B4" s="21" t="s">
        <v>113</v>
      </c>
      <c r="C4" s="20" t="s">
        <v>112</v>
      </c>
      <c r="D4" s="20"/>
      <c r="E4" s="20" t="s">
        <v>111</v>
      </c>
      <c r="F4" s="20"/>
      <c r="G4" s="20" t="s">
        <v>110</v>
      </c>
      <c r="H4" s="20"/>
      <c r="I4" s="20" t="s">
        <v>109</v>
      </c>
      <c r="J4" s="20"/>
      <c r="K4" s="20" t="s">
        <v>108</v>
      </c>
      <c r="L4" s="20"/>
    </row>
    <row r="5" spans="1:12" ht="30.45" customHeight="1">
      <c r="A5" s="19" t="s">
        <v>107</v>
      </c>
      <c r="B5" s="19" t="s">
        <v>106</v>
      </c>
      <c r="C5" s="19" t="s">
        <v>105</v>
      </c>
      <c r="D5" s="19" t="s">
        <v>104</v>
      </c>
      <c r="E5" s="19" t="s">
        <v>103</v>
      </c>
      <c r="F5" s="19" t="s">
        <v>102</v>
      </c>
      <c r="G5" s="19" t="s">
        <v>101</v>
      </c>
      <c r="H5" s="19" t="s">
        <v>100</v>
      </c>
      <c r="I5" s="19" t="s">
        <v>99</v>
      </c>
      <c r="J5" s="19" t="s">
        <v>98</v>
      </c>
      <c r="K5" s="19" t="s">
        <v>97</v>
      </c>
      <c r="L5" s="19" t="s">
        <v>96</v>
      </c>
    </row>
    <row r="6" spans="1:12" ht="25.65" customHeight="1">
      <c r="A6" s="18" t="s">
        <v>95</v>
      </c>
      <c r="B6" s="17">
        <v>55931</v>
      </c>
      <c r="C6" s="16">
        <v>0.4</v>
      </c>
      <c r="D6" s="16">
        <v>15.4</v>
      </c>
      <c r="E6" s="16">
        <v>0.3</v>
      </c>
      <c r="F6" s="16">
        <v>10.1</v>
      </c>
      <c r="G6" s="16">
        <v>0.2</v>
      </c>
      <c r="H6" s="16">
        <v>7.4</v>
      </c>
      <c r="I6" s="16">
        <v>0.1</v>
      </c>
      <c r="J6" s="16">
        <v>4.3</v>
      </c>
      <c r="K6" s="16">
        <v>0.1</v>
      </c>
      <c r="L6" s="16">
        <v>3.5</v>
      </c>
    </row>
    <row r="7" spans="1:12" ht="25.65" customHeight="1">
      <c r="A7" s="18" t="s">
        <v>94</v>
      </c>
      <c r="B7" s="17">
        <v>1861</v>
      </c>
      <c r="C7" s="16">
        <v>3.1</v>
      </c>
      <c r="D7" s="16">
        <v>92.4</v>
      </c>
      <c r="E7" s="16">
        <v>3.9</v>
      </c>
      <c r="F7" s="16">
        <v>81.5</v>
      </c>
      <c r="G7" s="16">
        <v>3.1</v>
      </c>
      <c r="H7" s="16">
        <v>77</v>
      </c>
      <c r="I7" s="16">
        <v>1.9</v>
      </c>
      <c r="J7" s="16">
        <v>69.3</v>
      </c>
      <c r="K7" s="16">
        <v>1.7</v>
      </c>
      <c r="L7" s="16">
        <v>65.400000000000006</v>
      </c>
    </row>
    <row r="8" spans="1:12" ht="25.65" customHeight="1">
      <c r="A8" s="18" t="s">
        <v>93</v>
      </c>
      <c r="B8" s="17">
        <v>514915</v>
      </c>
      <c r="C8" s="16">
        <v>0.6</v>
      </c>
      <c r="D8" s="16">
        <v>26.3</v>
      </c>
      <c r="E8" s="16">
        <v>1</v>
      </c>
      <c r="F8" s="16">
        <v>34</v>
      </c>
      <c r="G8" s="16">
        <v>0.8</v>
      </c>
      <c r="H8" s="16">
        <v>28.9</v>
      </c>
      <c r="I8" s="16">
        <v>0.6</v>
      </c>
      <c r="J8" s="16">
        <v>24.7</v>
      </c>
      <c r="K8" s="16">
        <v>0.5</v>
      </c>
      <c r="L8" s="16">
        <v>23.2</v>
      </c>
    </row>
    <row r="9" spans="1:12" ht="25.65" customHeight="1">
      <c r="A9" s="18" t="s">
        <v>92</v>
      </c>
      <c r="B9" s="17">
        <v>4521</v>
      </c>
      <c r="C9" s="16">
        <v>2.1</v>
      </c>
      <c r="D9" s="16">
        <v>79.400000000000006</v>
      </c>
      <c r="E9" s="16">
        <v>1.8</v>
      </c>
      <c r="F9" s="16">
        <v>59.1</v>
      </c>
      <c r="G9" s="16">
        <v>1.5</v>
      </c>
      <c r="H9" s="16">
        <v>55.8</v>
      </c>
      <c r="I9" s="16">
        <v>1.1000000000000001</v>
      </c>
      <c r="J9" s="16">
        <v>41.9</v>
      </c>
      <c r="K9" s="16">
        <v>0.9</v>
      </c>
      <c r="L9" s="16">
        <v>32.5</v>
      </c>
    </row>
    <row r="10" spans="1:12" ht="25.65" customHeight="1">
      <c r="A10" s="18" t="s">
        <v>91</v>
      </c>
      <c r="B10" s="17">
        <v>202</v>
      </c>
      <c r="C10" s="16">
        <v>0.1</v>
      </c>
      <c r="D10" s="16">
        <v>5.0999999999999996</v>
      </c>
      <c r="E10" s="16">
        <v>0.1</v>
      </c>
      <c r="F10" s="16">
        <v>2.4</v>
      </c>
      <c r="G10" s="16">
        <v>0.1</v>
      </c>
      <c r="H10" s="16">
        <v>2.4</v>
      </c>
      <c r="I10" s="16">
        <v>0.1</v>
      </c>
      <c r="J10" s="16">
        <v>1.8</v>
      </c>
      <c r="K10" s="16">
        <v>0.1</v>
      </c>
      <c r="L10" s="16">
        <v>1.5</v>
      </c>
    </row>
    <row r="11" spans="1:12" ht="25.65" customHeight="1">
      <c r="A11" s="18" t="s">
        <v>90</v>
      </c>
      <c r="B11" s="17">
        <v>40</v>
      </c>
      <c r="C11" s="16">
        <v>2.9</v>
      </c>
      <c r="D11" s="16">
        <v>98.1</v>
      </c>
      <c r="E11" s="16">
        <v>5</v>
      </c>
      <c r="F11" s="16">
        <v>98.6</v>
      </c>
      <c r="G11" s="16">
        <v>3.7</v>
      </c>
      <c r="H11" s="16">
        <v>96.9</v>
      </c>
      <c r="I11" s="16">
        <v>1.8</v>
      </c>
      <c r="J11" s="16">
        <v>94</v>
      </c>
      <c r="K11" s="16">
        <v>1.6</v>
      </c>
      <c r="L11" s="16">
        <v>91</v>
      </c>
    </row>
    <row r="12" spans="1:12" ht="25.65" customHeight="1">
      <c r="A12" s="18" t="s">
        <v>89</v>
      </c>
      <c r="B12" s="17">
        <v>2</v>
      </c>
      <c r="C12" s="16">
        <v>1.2</v>
      </c>
      <c r="D12" s="16">
        <v>100</v>
      </c>
      <c r="E12" s="16">
        <v>0.1</v>
      </c>
      <c r="F12" s="16">
        <v>81.900000000000006</v>
      </c>
      <c r="G12" s="16">
        <v>0</v>
      </c>
      <c r="H12" s="16">
        <v>38.6</v>
      </c>
      <c r="I12" s="16">
        <v>0</v>
      </c>
      <c r="J12" s="16">
        <v>0.7</v>
      </c>
      <c r="K12" s="16">
        <v>0</v>
      </c>
      <c r="L12" s="16">
        <v>0.7</v>
      </c>
    </row>
    <row r="13" spans="1:12" ht="25.65" customHeight="1">
      <c r="A13" s="18" t="s">
        <v>88</v>
      </c>
      <c r="B13" s="17">
        <v>286710</v>
      </c>
      <c r="C13" s="16">
        <v>2.4</v>
      </c>
      <c r="D13" s="16">
        <v>49.3</v>
      </c>
      <c r="E13" s="16">
        <v>1.2</v>
      </c>
      <c r="F13" s="16">
        <v>28.5</v>
      </c>
      <c r="G13" s="16">
        <v>0.9</v>
      </c>
      <c r="H13" s="16">
        <v>23.6</v>
      </c>
      <c r="I13" s="16">
        <v>0.8</v>
      </c>
      <c r="J13" s="16">
        <v>18.3</v>
      </c>
      <c r="K13" s="16">
        <v>0.6</v>
      </c>
      <c r="L13" s="16">
        <v>14.4</v>
      </c>
    </row>
    <row r="14" spans="1:12" ht="25.65" customHeight="1">
      <c r="A14" s="18" t="s">
        <v>87</v>
      </c>
      <c r="B14" s="17">
        <v>4010</v>
      </c>
      <c r="C14" s="16">
        <v>0.4</v>
      </c>
      <c r="D14" s="16">
        <v>12.9</v>
      </c>
      <c r="E14" s="16">
        <v>0.7</v>
      </c>
      <c r="F14" s="16">
        <v>18</v>
      </c>
      <c r="G14" s="16">
        <v>0.6</v>
      </c>
      <c r="H14" s="16">
        <v>16.5</v>
      </c>
      <c r="I14" s="16">
        <v>0.3</v>
      </c>
      <c r="J14" s="16">
        <v>11.2</v>
      </c>
      <c r="K14" s="16">
        <v>0.3</v>
      </c>
      <c r="L14" s="16">
        <v>10.9</v>
      </c>
    </row>
    <row r="15" spans="1:12" ht="25.65" customHeight="1">
      <c r="A15" s="18" t="s">
        <v>86</v>
      </c>
      <c r="B15" s="17">
        <v>255254</v>
      </c>
      <c r="C15" s="16">
        <v>0</v>
      </c>
      <c r="D15" s="16">
        <v>0.9</v>
      </c>
      <c r="E15" s="16">
        <v>0</v>
      </c>
      <c r="F15" s="16">
        <v>0.7</v>
      </c>
      <c r="G15" s="16">
        <v>0</v>
      </c>
      <c r="H15" s="16">
        <v>0.5</v>
      </c>
      <c r="I15" s="16">
        <v>0</v>
      </c>
      <c r="J15" s="16">
        <v>0.3</v>
      </c>
      <c r="K15" s="16">
        <v>0</v>
      </c>
      <c r="L15" s="16">
        <v>0.1</v>
      </c>
    </row>
    <row r="16" spans="1:12" ht="25.65" customHeight="1">
      <c r="A16" s="18" t="s">
        <v>85</v>
      </c>
      <c r="B16" s="17">
        <v>1997</v>
      </c>
      <c r="C16" s="16">
        <v>4.5</v>
      </c>
      <c r="D16" s="16">
        <v>69.5</v>
      </c>
      <c r="E16" s="16">
        <v>1.2</v>
      </c>
      <c r="F16" s="16">
        <v>29.9</v>
      </c>
      <c r="G16" s="16">
        <v>1</v>
      </c>
      <c r="H16" s="16">
        <v>24.4</v>
      </c>
      <c r="I16" s="16">
        <v>0.9</v>
      </c>
      <c r="J16" s="16">
        <v>23</v>
      </c>
      <c r="K16" s="16">
        <v>0.5</v>
      </c>
      <c r="L16" s="16">
        <v>17.600000000000001</v>
      </c>
    </row>
    <row r="17" spans="1:12" ht="25.65" customHeight="1">
      <c r="A17" s="18" t="s">
        <v>84</v>
      </c>
      <c r="B17" s="17">
        <v>142690</v>
      </c>
      <c r="C17" s="16">
        <v>0</v>
      </c>
      <c r="D17" s="16">
        <v>0.1</v>
      </c>
      <c r="E17" s="16">
        <v>0</v>
      </c>
      <c r="F17" s="16">
        <v>0.2</v>
      </c>
      <c r="G17" s="16">
        <v>0</v>
      </c>
      <c r="H17" s="16">
        <v>0.2</v>
      </c>
      <c r="I17" s="16">
        <v>0</v>
      </c>
      <c r="J17" s="16">
        <v>0.1</v>
      </c>
      <c r="K17" s="16">
        <v>0</v>
      </c>
      <c r="L17" s="16">
        <v>0.1</v>
      </c>
    </row>
    <row r="18" spans="1:12" ht="25.65" customHeight="1">
      <c r="A18" s="18" t="s">
        <v>83</v>
      </c>
      <c r="B18" s="17">
        <v>122437</v>
      </c>
      <c r="C18" s="16">
        <v>1.8</v>
      </c>
      <c r="D18" s="16">
        <v>61.2</v>
      </c>
      <c r="E18" s="16">
        <v>2.5</v>
      </c>
      <c r="F18" s="16">
        <v>66.900000000000006</v>
      </c>
      <c r="G18" s="16">
        <v>2.1</v>
      </c>
      <c r="H18" s="16">
        <v>61</v>
      </c>
      <c r="I18" s="16">
        <v>1.6</v>
      </c>
      <c r="J18" s="16">
        <v>55.9</v>
      </c>
      <c r="K18" s="16">
        <v>1.5</v>
      </c>
      <c r="L18" s="16">
        <v>51.5</v>
      </c>
    </row>
    <row r="19" spans="1:12" ht="25.65" customHeight="1">
      <c r="A19" s="18" t="s">
        <v>82</v>
      </c>
      <c r="B19" s="17">
        <v>43008</v>
      </c>
      <c r="C19" s="16">
        <v>3</v>
      </c>
      <c r="D19" s="16">
        <v>84.1</v>
      </c>
      <c r="E19" s="16">
        <v>2.9</v>
      </c>
      <c r="F19" s="16">
        <v>84.2</v>
      </c>
      <c r="G19" s="16">
        <v>2.2999999999999998</v>
      </c>
      <c r="H19" s="16">
        <v>78.3</v>
      </c>
      <c r="I19" s="16">
        <v>1.8</v>
      </c>
      <c r="J19" s="16">
        <v>73.400000000000006</v>
      </c>
      <c r="K19" s="16">
        <v>1.5</v>
      </c>
      <c r="L19" s="16">
        <v>56.7</v>
      </c>
    </row>
    <row r="21" spans="1:12">
      <c r="A21" s="15" t="s">
        <v>81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</sheetData>
  <mergeCells count="8">
    <mergeCell ref="A21:L21"/>
    <mergeCell ref="A1:L1"/>
    <mergeCell ref="A2:L2"/>
    <mergeCell ref="C4:D4"/>
    <mergeCell ref="E4:F4"/>
    <mergeCell ref="G4:H4"/>
    <mergeCell ref="I4:J4"/>
    <mergeCell ref="K4:L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1" sqref="B1"/>
    </sheetView>
  </sheetViews>
  <sheetFormatPr defaultRowHeight="13.8"/>
  <cols>
    <col min="1" max="1" width="18" customWidth="1"/>
    <col min="2" max="2" width="80" customWidth="1"/>
  </cols>
  <sheetData>
    <row r="1" spans="1:2">
      <c r="A1" s="9" t="s">
        <v>72</v>
      </c>
      <c r="B1" s="9" t="s">
        <v>73</v>
      </c>
    </row>
    <row r="2" spans="1:2">
      <c r="A2" t="s">
        <v>74</v>
      </c>
      <c r="B2" t="s">
        <v>75</v>
      </c>
    </row>
    <row r="3" spans="1:2">
      <c r="A3" t="s">
        <v>76</v>
      </c>
      <c r="B3" t="s">
        <v>117</v>
      </c>
    </row>
    <row r="4" spans="1:2">
      <c r="A4" t="s">
        <v>77</v>
      </c>
      <c r="B4" t="s">
        <v>78</v>
      </c>
    </row>
    <row r="5" spans="1:2">
      <c r="A5" t="s">
        <v>79</v>
      </c>
      <c r="B5" s="10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0C27-82F3-40B6-B52F-F81FE9E8812C}">
  <dimension ref="A1:BL61"/>
  <sheetViews>
    <sheetView tabSelected="1" topLeftCell="AD1" workbookViewId="0">
      <selection activeCell="AL6" sqref="AL6"/>
    </sheetView>
  </sheetViews>
  <sheetFormatPr defaultRowHeight="13.8"/>
  <cols>
    <col min="1" max="1" width="27.296875" customWidth="1"/>
    <col min="2" max="7" width="21.8984375" customWidth="1"/>
    <col min="8" max="8" width="3.59765625" customWidth="1"/>
    <col min="9" max="13" width="15.296875" customWidth="1"/>
    <col min="14" max="14" width="4.3984375" customWidth="1"/>
    <col min="15" max="19" width="13.69921875" customWidth="1"/>
    <col min="20" max="20" width="3.19921875" customWidth="1"/>
    <col min="21" max="25" width="13.296875" customWidth="1"/>
    <col min="28" max="28" width="10.69921875" customWidth="1"/>
    <col min="29" max="30" width="10.796875" customWidth="1"/>
    <col min="38" max="38" width="9.69921875" customWidth="1"/>
    <col min="41" max="41" width="10" customWidth="1"/>
    <col min="58" max="58" width="14.19921875" bestFit="1" customWidth="1"/>
    <col min="59" max="62" width="14.19921875" customWidth="1"/>
    <col min="63" max="63" width="14.19921875" bestFit="1" customWidth="1"/>
  </cols>
  <sheetData>
    <row r="1" spans="1:64" ht="21">
      <c r="C1" s="38" t="s">
        <v>134</v>
      </c>
      <c r="O1" s="38" t="s">
        <v>135</v>
      </c>
      <c r="AL1" t="s">
        <v>155</v>
      </c>
      <c r="AO1" t="s">
        <v>153</v>
      </c>
      <c r="AU1" t="s">
        <v>154</v>
      </c>
      <c r="BF1" s="36" t="s">
        <v>140</v>
      </c>
      <c r="BJ1" s="36" t="s">
        <v>141</v>
      </c>
    </row>
    <row r="2" spans="1:64" ht="17.399999999999999">
      <c r="C2">
        <v>2015</v>
      </c>
      <c r="D2">
        <v>2040</v>
      </c>
      <c r="E2">
        <v>2040</v>
      </c>
      <c r="F2">
        <v>2040</v>
      </c>
      <c r="G2">
        <v>2040</v>
      </c>
      <c r="I2">
        <v>2015</v>
      </c>
      <c r="J2">
        <v>2040</v>
      </c>
      <c r="K2">
        <v>2040</v>
      </c>
      <c r="L2">
        <v>2040</v>
      </c>
      <c r="M2">
        <v>2040</v>
      </c>
      <c r="O2" s="28" t="s">
        <v>148</v>
      </c>
      <c r="P2" s="28"/>
      <c r="Q2" s="28"/>
      <c r="R2" s="28"/>
      <c r="S2" s="28"/>
      <c r="T2" s="39"/>
      <c r="U2" s="28" t="s">
        <v>147</v>
      </c>
      <c r="AB2" t="s">
        <v>126</v>
      </c>
      <c r="AC2" t="s">
        <v>126</v>
      </c>
      <c r="AD2" t="s">
        <v>126</v>
      </c>
      <c r="AE2" t="s">
        <v>126</v>
      </c>
      <c r="AG2" t="s">
        <v>126</v>
      </c>
      <c r="AH2" t="s">
        <v>126</v>
      </c>
      <c r="AI2" t="s">
        <v>126</v>
      </c>
      <c r="AJ2" t="s">
        <v>126</v>
      </c>
      <c r="AL2" s="28" t="s">
        <v>150</v>
      </c>
      <c r="AO2" s="36" t="s">
        <v>151</v>
      </c>
      <c r="AU2" s="36" t="s">
        <v>151</v>
      </c>
      <c r="AZ2" t="s">
        <v>131</v>
      </c>
      <c r="BB2" t="s">
        <v>139</v>
      </c>
      <c r="BF2" t="s">
        <v>143</v>
      </c>
      <c r="BJ2" t="s">
        <v>144</v>
      </c>
      <c r="BK2" t="s">
        <v>144</v>
      </c>
    </row>
    <row r="3" spans="1:64" ht="17.399999999999999">
      <c r="C3" t="s">
        <v>123</v>
      </c>
      <c r="D3" t="s">
        <v>123</v>
      </c>
      <c r="E3" t="s">
        <v>129</v>
      </c>
      <c r="F3" t="s">
        <v>124</v>
      </c>
      <c r="G3" t="s">
        <v>125</v>
      </c>
      <c r="I3" t="s">
        <v>123</v>
      </c>
      <c r="J3" t="s">
        <v>123</v>
      </c>
      <c r="K3" t="s">
        <v>129</v>
      </c>
      <c r="L3" t="s">
        <v>124</v>
      </c>
      <c r="M3" t="s">
        <v>125</v>
      </c>
      <c r="O3" s="30" t="s">
        <v>112</v>
      </c>
      <c r="P3" s="30" t="s">
        <v>111</v>
      </c>
      <c r="Q3" s="30" t="s">
        <v>110</v>
      </c>
      <c r="R3" s="30" t="s">
        <v>109</v>
      </c>
      <c r="S3" s="31" t="s">
        <v>108</v>
      </c>
      <c r="T3" s="37"/>
      <c r="U3" s="30" t="s">
        <v>112</v>
      </c>
      <c r="V3" s="30" t="s">
        <v>111</v>
      </c>
      <c r="W3" s="30" t="s">
        <v>110</v>
      </c>
      <c r="X3" s="30" t="s">
        <v>109</v>
      </c>
      <c r="Y3" s="31" t="s">
        <v>108</v>
      </c>
      <c r="Z3" s="37"/>
      <c r="AA3" s="28" t="s">
        <v>120</v>
      </c>
      <c r="AB3" t="s">
        <v>132</v>
      </c>
      <c r="AC3" t="s">
        <v>132</v>
      </c>
      <c r="AD3" t="s">
        <v>132</v>
      </c>
      <c r="AE3" t="s">
        <v>132</v>
      </c>
      <c r="AG3" t="s">
        <v>133</v>
      </c>
      <c r="AH3" t="s">
        <v>133</v>
      </c>
      <c r="AI3" t="s">
        <v>133</v>
      </c>
      <c r="AJ3" t="s">
        <v>133</v>
      </c>
      <c r="AL3" t="s">
        <v>132</v>
      </c>
      <c r="AM3" t="s">
        <v>133</v>
      </c>
      <c r="AN3" s="35"/>
      <c r="AO3" t="s">
        <v>132</v>
      </c>
      <c r="AP3" t="s">
        <v>133</v>
      </c>
      <c r="AU3" t="s">
        <v>132</v>
      </c>
      <c r="AV3" t="s">
        <v>133</v>
      </c>
      <c r="AZ3" t="s">
        <v>136</v>
      </c>
      <c r="BF3" t="s">
        <v>132</v>
      </c>
      <c r="BG3" t="s">
        <v>133</v>
      </c>
      <c r="BH3" t="s">
        <v>145</v>
      </c>
      <c r="BJ3" t="s">
        <v>132</v>
      </c>
      <c r="BK3" t="s">
        <v>133</v>
      </c>
      <c r="BL3" t="s">
        <v>145</v>
      </c>
    </row>
    <row r="4" spans="1:64" ht="27.6">
      <c r="C4" t="s">
        <v>122</v>
      </c>
      <c r="D4" t="s">
        <v>122</v>
      </c>
      <c r="E4" t="s">
        <v>122</v>
      </c>
      <c r="F4" t="s">
        <v>122</v>
      </c>
      <c r="G4" t="s">
        <v>122</v>
      </c>
      <c r="I4" t="s">
        <v>130</v>
      </c>
      <c r="J4" t="s">
        <v>130</v>
      </c>
      <c r="K4" t="s">
        <v>130</v>
      </c>
      <c r="L4" t="s">
        <v>130</v>
      </c>
      <c r="M4" t="s">
        <v>130</v>
      </c>
      <c r="O4" s="2" t="s">
        <v>121</v>
      </c>
      <c r="P4" s="2" t="s">
        <v>121</v>
      </c>
      <c r="Q4" s="2" t="s">
        <v>121</v>
      </c>
      <c r="R4" s="2" t="s">
        <v>121</v>
      </c>
      <c r="S4" s="2" t="s">
        <v>121</v>
      </c>
      <c r="T4" s="37"/>
      <c r="U4" s="30" t="s">
        <v>128</v>
      </c>
      <c r="V4" s="30" t="s">
        <v>128</v>
      </c>
      <c r="W4" s="30" t="s">
        <v>128</v>
      </c>
      <c r="X4" s="30" t="s">
        <v>128</v>
      </c>
      <c r="Y4" s="30" t="s">
        <v>128</v>
      </c>
      <c r="AA4" s="28" t="s">
        <v>127</v>
      </c>
      <c r="AB4" t="s">
        <v>122</v>
      </c>
      <c r="AC4" s="2" t="s">
        <v>121</v>
      </c>
      <c r="AD4" t="s">
        <v>130</v>
      </c>
      <c r="AE4" s="30" t="s">
        <v>128</v>
      </c>
      <c r="AG4" t="s">
        <v>122</v>
      </c>
      <c r="AH4" s="2" t="s">
        <v>121</v>
      </c>
      <c r="AI4" t="s">
        <v>130</v>
      </c>
      <c r="AJ4" s="30" t="s">
        <v>128</v>
      </c>
      <c r="AL4" s="35" t="s">
        <v>149</v>
      </c>
      <c r="AM4" s="35" t="s">
        <v>149</v>
      </c>
      <c r="AN4" s="35"/>
      <c r="AO4" s="35" t="s">
        <v>152</v>
      </c>
      <c r="AP4" s="35" t="s">
        <v>152</v>
      </c>
      <c r="AQ4" s="37"/>
      <c r="AR4" s="37"/>
      <c r="AS4" s="37"/>
      <c r="AU4" s="35" t="s">
        <v>152</v>
      </c>
      <c r="AV4" s="35" t="s">
        <v>152</v>
      </c>
      <c r="AZ4" t="s">
        <v>137</v>
      </c>
      <c r="BA4" t="s">
        <v>142</v>
      </c>
      <c r="BB4" t="s">
        <v>138</v>
      </c>
      <c r="BF4" t="s">
        <v>146</v>
      </c>
      <c r="BG4" t="s">
        <v>146</v>
      </c>
      <c r="BH4" t="s">
        <v>146</v>
      </c>
      <c r="BJ4" t="s">
        <v>146</v>
      </c>
      <c r="BK4" t="s">
        <v>146</v>
      </c>
      <c r="BL4" t="s">
        <v>146</v>
      </c>
    </row>
    <row r="5" spans="1:64">
      <c r="A5" s="24" t="s">
        <v>15</v>
      </c>
      <c r="B5" t="s">
        <v>15</v>
      </c>
      <c r="C5" s="34">
        <f>'[1]bio_critical_load (16)'!M10</f>
        <v>53</v>
      </c>
      <c r="D5" s="34">
        <f>ROUND('[1]bio_critical_load (15)'!M10,0)</f>
        <v>24</v>
      </c>
      <c r="E5" s="34">
        <f>ROUND('[1]bio_critical_load (2)'!M10,0)</f>
        <v>18</v>
      </c>
      <c r="F5" s="34">
        <f>ROUND('[1]bio_critical_load (14)'!M10,0)</f>
        <v>17</v>
      </c>
      <c r="G5" s="34">
        <f>'[1]bio_critical_load (18)'!M10</f>
        <v>13.9</v>
      </c>
      <c r="I5">
        <f>'[1]bio_critical_load (16)'!N10</f>
        <v>123.9</v>
      </c>
      <c r="J5">
        <f>ROUND('[1]bio_critical_load (15)'!N10,0)</f>
        <v>30</v>
      </c>
      <c r="K5">
        <f>ROUND('[1]bio_critical_load (2)'!N10,0)</f>
        <v>19</v>
      </c>
      <c r="L5">
        <f>ROUND('[1]bio_critical_load (14)'!N10,0)</f>
        <v>18</v>
      </c>
      <c r="M5" s="33">
        <f>'[1]bio_critical_load (18)'!N10</f>
        <v>9.6999999999999993</v>
      </c>
      <c r="O5" s="29">
        <f>SUMPRODUCT(Table47[km²],Table47[AAR '[%']])/SUM(Table47[km²])</f>
        <v>28.334083112324546</v>
      </c>
      <c r="P5" s="34">
        <f>SUMPRODUCT(Table47[km²],Table47[AAR '[%']3])/SUM(Table47[km²])</f>
        <v>27.077786001180268</v>
      </c>
      <c r="Q5" s="34">
        <f>SUMPRODUCT(Table47[km²],Table47[AAR '[%']5])/SUM(Table47[km²])</f>
        <v>23.415911725765884</v>
      </c>
      <c r="R5" s="34">
        <f>SUMPRODUCT(Table47[km²],Table47[AAR '[%']7])/SUM(Table47[km²])</f>
        <v>20.027457661878181</v>
      </c>
      <c r="S5" s="34">
        <f>SUMPRODUCT(Table47[km²],Table47[AAR '[%']9])/SUM(Table47[km²])</f>
        <v>17.721886426828537</v>
      </c>
      <c r="U5" s="33">
        <f>SUMPRODUCT(Table47[km²],Table47[AAE '[kg ha-1 a-1']])/SUM(Table47[km²])</f>
        <v>0.97296993954985367</v>
      </c>
      <c r="V5" s="33">
        <f>SUMPRODUCT(Table47[km²],Table47[AAE '[kg ha-1 a-1']2])/SUM(Table47[km²])</f>
        <v>0.92592206353613116</v>
      </c>
      <c r="W5" s="33">
        <f>SUMPRODUCT(Table47[km²],Table47[AAE '[kg ha-1 a-1']4])/SUM(Table47[km²])</f>
        <v>0.73544313598562472</v>
      </c>
      <c r="X5" s="33">
        <f>SUMPRODUCT(Table47[km²],Table47[AAE '[kg ha-1 a-1']6])/SUM(Table47[km²])</f>
        <v>0.57815145042683413</v>
      </c>
      <c r="Y5" s="33">
        <f>SUMPRODUCT(Table47[km²],Table47[AAE '[kg ha-1 a-1']8])/SUM(Table47[km²])</f>
        <v>0.48324011668705857</v>
      </c>
      <c r="AA5" s="29">
        <f>SUM(Table47[[km²]:[km²]])/('Table 45'!$B$32+'Table 45'!$B$40+'Table 45'!$B$47+'Table 45'!$B$61)*'Table 45'!B5</f>
        <v>9990.3895558122513</v>
      </c>
      <c r="AB5">
        <v>18</v>
      </c>
      <c r="AC5" s="34">
        <f>_xlfn.FORECAST.LINEAR(AB5,O5:S5,C5:G5)</f>
        <v>21.737103992580778</v>
      </c>
      <c r="AD5" s="34">
        <v>15</v>
      </c>
      <c r="AE5" s="33">
        <f>_xlfn.FORECAST.LINEAR(AD5,U5:Y5,I5:M5)</f>
        <v>0.6576971461456308</v>
      </c>
      <c r="AG5">
        <v>16</v>
      </c>
      <c r="AH5" s="34">
        <f>_xlfn.FORECAST.LINEAR(AG5,O5:S5,C5:G5)</f>
        <v>21.297460261936013</v>
      </c>
      <c r="AI5" s="34">
        <v>12</v>
      </c>
      <c r="AJ5" s="33">
        <f>_xlfn.FORECAST.LINEAR(AI5,U5:Y5,I5:M5)</f>
        <v>0.64797005278279607</v>
      </c>
      <c r="AL5" s="32">
        <f>AE5/(AC5/100)</f>
        <v>3.025688915920508</v>
      </c>
      <c r="AM5" s="32">
        <f>AJ5/(AH5/100)</f>
        <v>3.042475698104171</v>
      </c>
      <c r="AO5">
        <f>IF(AL5*BA5/AZ5&gt;1,1,AL5*BA5/AZ5)</f>
        <v>1</v>
      </c>
      <c r="AP5">
        <f>IF(AM5*BA5/AZ5&gt;1,1,AL5*BA5/AZ5)</f>
        <v>1</v>
      </c>
      <c r="AU5" t="e">
        <f>IF(AO5*BD5/BC5&gt;1,1,AO5*BD5/BC5)</f>
        <v>#DIV/0!</v>
      </c>
      <c r="AV5" t="e">
        <f>IF(AP5*BD5/BC5&gt;1,1,AO5*BD5/BC5)</f>
        <v>#DIV/0!</v>
      </c>
      <c r="AZ5">
        <v>3</v>
      </c>
      <c r="BA5">
        <v>1</v>
      </c>
      <c r="BB5">
        <v>4500</v>
      </c>
      <c r="BF5" s="40">
        <f>AE5*BA5/AZ5*BB5*AA5</f>
        <v>9855976.0496112499</v>
      </c>
      <c r="BG5" s="40">
        <f>AJ5*BA5/AZ5*BB5*AA5</f>
        <v>9710209.8717005383</v>
      </c>
      <c r="BH5" s="40">
        <f>BF5-BG5</f>
        <v>145766.17791071162</v>
      </c>
      <c r="BJ5" s="40">
        <f>AA5*AC5/100*AO5*BB5</f>
        <v>9772296.1515487712</v>
      </c>
      <c r="BK5" s="40">
        <f>AA5*AH5/100*AP5*BB5</f>
        <v>9574646.6054777391</v>
      </c>
      <c r="BL5" s="40">
        <f>BJ5-BK5</f>
        <v>197649.54607103206</v>
      </c>
    </row>
    <row r="6" spans="1:64">
      <c r="A6" s="25" t="s">
        <v>16</v>
      </c>
      <c r="B6" t="s">
        <v>16</v>
      </c>
    </row>
    <row r="7" spans="1:64">
      <c r="A7" s="24" t="s">
        <v>17</v>
      </c>
      <c r="B7" t="s">
        <v>17</v>
      </c>
      <c r="U7" s="35"/>
      <c r="V7" s="35"/>
      <c r="W7" s="35"/>
      <c r="X7" s="35"/>
      <c r="Y7" s="35"/>
      <c r="Z7" s="35"/>
    </row>
    <row r="8" spans="1:64">
      <c r="A8" s="25" t="s">
        <v>18</v>
      </c>
      <c r="B8" t="s">
        <v>18</v>
      </c>
    </row>
    <row r="9" spans="1:64">
      <c r="A9" s="24" t="s">
        <v>19</v>
      </c>
      <c r="B9" t="s">
        <v>19</v>
      </c>
    </row>
    <row r="10" spans="1:64">
      <c r="A10" s="25" t="s">
        <v>20</v>
      </c>
      <c r="B10" t="s">
        <v>20</v>
      </c>
    </row>
    <row r="11" spans="1:64">
      <c r="A11" s="24" t="s">
        <v>21</v>
      </c>
      <c r="B11" t="s">
        <v>21</v>
      </c>
    </row>
    <row r="12" spans="1:64">
      <c r="A12" s="25" t="s">
        <v>22</v>
      </c>
      <c r="B12" t="s">
        <v>22</v>
      </c>
    </row>
    <row r="13" spans="1:64">
      <c r="A13" s="24" t="s">
        <v>23</v>
      </c>
      <c r="B13" t="s">
        <v>23</v>
      </c>
    </row>
    <row r="14" spans="1:64">
      <c r="A14" s="25" t="s">
        <v>24</v>
      </c>
      <c r="B14" t="s">
        <v>24</v>
      </c>
    </row>
    <row r="15" spans="1:64">
      <c r="A15" s="24" t="s">
        <v>25</v>
      </c>
      <c r="B15" t="s">
        <v>25</v>
      </c>
    </row>
    <row r="16" spans="1:64">
      <c r="A16" s="25" t="s">
        <v>26</v>
      </c>
      <c r="B16" t="s">
        <v>26</v>
      </c>
    </row>
    <row r="17" spans="1:2">
      <c r="A17" s="24" t="s">
        <v>27</v>
      </c>
      <c r="B17" t="s">
        <v>27</v>
      </c>
    </row>
    <row r="18" spans="1:2">
      <c r="A18" s="25" t="s">
        <v>28</v>
      </c>
      <c r="B18" t="s">
        <v>28</v>
      </c>
    </row>
    <row r="19" spans="1:2">
      <c r="A19" s="24" t="s">
        <v>29</v>
      </c>
      <c r="B19" t="s">
        <v>29</v>
      </c>
    </row>
    <row r="20" spans="1:2">
      <c r="A20" s="25" t="s">
        <v>30</v>
      </c>
      <c r="B20" t="s">
        <v>30</v>
      </c>
    </row>
    <row r="21" spans="1:2">
      <c r="A21" s="24" t="s">
        <v>31</v>
      </c>
      <c r="B21" t="s">
        <v>31</v>
      </c>
    </row>
    <row r="22" spans="1:2">
      <c r="A22" s="25" t="s">
        <v>32</v>
      </c>
      <c r="B22" t="s">
        <v>32</v>
      </c>
    </row>
    <row r="23" spans="1:2">
      <c r="A23" s="24" t="s">
        <v>33</v>
      </c>
      <c r="B23" t="s">
        <v>33</v>
      </c>
    </row>
    <row r="24" spans="1:2">
      <c r="A24" s="25" t="s">
        <v>34</v>
      </c>
      <c r="B24" t="s">
        <v>34</v>
      </c>
    </row>
    <row r="25" spans="1:2">
      <c r="A25" s="24" t="s">
        <v>35</v>
      </c>
      <c r="B25" t="s">
        <v>35</v>
      </c>
    </row>
    <row r="26" spans="1:2">
      <c r="A26" s="25" t="s">
        <v>36</v>
      </c>
      <c r="B26" t="s">
        <v>36</v>
      </c>
    </row>
    <row r="27" spans="1:2">
      <c r="A27" s="24" t="s">
        <v>37</v>
      </c>
      <c r="B27" t="s">
        <v>37</v>
      </c>
    </row>
    <row r="28" spans="1:2">
      <c r="A28" s="25" t="s">
        <v>38</v>
      </c>
      <c r="B28" t="s">
        <v>118</v>
      </c>
    </row>
    <row r="29" spans="1:2">
      <c r="A29" s="24" t="s">
        <v>39</v>
      </c>
      <c r="B29" t="s">
        <v>39</v>
      </c>
    </row>
    <row r="30" spans="1:2">
      <c r="A30" s="25" t="s">
        <v>40</v>
      </c>
      <c r="B30" t="s">
        <v>40</v>
      </c>
    </row>
    <row r="31" spans="1:2">
      <c r="A31" s="24" t="s">
        <v>41</v>
      </c>
      <c r="B31" t="s">
        <v>41</v>
      </c>
    </row>
    <row r="32" spans="1:2">
      <c r="A32" s="26" t="s">
        <v>42</v>
      </c>
    </row>
    <row r="33" spans="1:14">
      <c r="A33" s="24" t="s">
        <v>43</v>
      </c>
    </row>
    <row r="34" spans="1:14">
      <c r="A34" s="25" t="s">
        <v>44</v>
      </c>
    </row>
    <row r="35" spans="1:14">
      <c r="A35" s="24" t="s">
        <v>45</v>
      </c>
    </row>
    <row r="36" spans="1:14">
      <c r="A36" s="25" t="s">
        <v>46</v>
      </c>
      <c r="B36" s="27" t="s">
        <v>46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</row>
    <row r="37" spans="1:14">
      <c r="A37" s="24" t="s">
        <v>47</v>
      </c>
    </row>
    <row r="38" spans="1:14">
      <c r="A38" s="25" t="s">
        <v>48</v>
      </c>
      <c r="B38" s="27" t="s">
        <v>48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 spans="1:14">
      <c r="A39" s="24" t="s">
        <v>49</v>
      </c>
      <c r="B39" s="27" t="s">
        <v>49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</row>
    <row r="40" spans="1:14">
      <c r="A40" s="26" t="s">
        <v>50</v>
      </c>
    </row>
    <row r="41" spans="1:14">
      <c r="A41" s="24" t="s">
        <v>51</v>
      </c>
      <c r="B41" s="27" t="s">
        <v>51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</row>
    <row r="42" spans="1:14">
      <c r="A42" s="25" t="s">
        <v>52</v>
      </c>
      <c r="B42" s="27" t="s">
        <v>52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 spans="1:14">
      <c r="A43" s="24" t="s">
        <v>53</v>
      </c>
      <c r="B43" s="27" t="s">
        <v>53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</row>
    <row r="44" spans="1:14">
      <c r="A44" s="25" t="s">
        <v>54</v>
      </c>
      <c r="B44" s="27" t="s">
        <v>54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</row>
    <row r="45" spans="1:14">
      <c r="A45" s="24" t="s">
        <v>55</v>
      </c>
      <c r="B45" s="27" t="s">
        <v>55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</row>
    <row r="46" spans="1:14">
      <c r="A46" s="25" t="s">
        <v>56</v>
      </c>
      <c r="B46" s="27" t="s">
        <v>56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  <row r="47" spans="1:14">
      <c r="A47" s="26" t="s">
        <v>57</v>
      </c>
    </row>
    <row r="48" spans="1:14">
      <c r="A48" s="25" t="s">
        <v>58</v>
      </c>
    </row>
    <row r="49" spans="1:14">
      <c r="A49" s="24" t="s">
        <v>59</v>
      </c>
    </row>
    <row r="50" spans="1:14">
      <c r="A50" s="25" t="s">
        <v>60</v>
      </c>
      <c r="B50" s="27" t="s">
        <v>60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</row>
    <row r="51" spans="1:14">
      <c r="A51" s="24" t="s">
        <v>61</v>
      </c>
    </row>
    <row r="52" spans="1:14">
      <c r="A52" s="25" t="s">
        <v>62</v>
      </c>
    </row>
    <row r="53" spans="1:14">
      <c r="A53" s="24" t="s">
        <v>63</v>
      </c>
    </row>
    <row r="54" spans="1:14">
      <c r="A54" s="25" t="s">
        <v>64</v>
      </c>
      <c r="B54" s="27" t="s">
        <v>119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</row>
    <row r="55" spans="1:14">
      <c r="A55" s="24" t="s">
        <v>65</v>
      </c>
      <c r="B55" s="27" t="s">
        <v>65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</row>
    <row r="56" spans="1:14">
      <c r="A56" s="25" t="s">
        <v>66</v>
      </c>
    </row>
    <row r="57" spans="1:14">
      <c r="A57" s="24" t="s">
        <v>67</v>
      </c>
    </row>
    <row r="58" spans="1:14">
      <c r="A58" s="25" t="s">
        <v>68</v>
      </c>
    </row>
    <row r="59" spans="1:14">
      <c r="A59" s="24" t="s">
        <v>69</v>
      </c>
      <c r="B59" s="27" t="s">
        <v>69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</row>
    <row r="60" spans="1:14">
      <c r="A60" s="25" t="s">
        <v>70</v>
      </c>
    </row>
    <row r="61" spans="1:14">
      <c r="A61" s="2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45</vt:lpstr>
      <vt:lpstr>Table 47</vt:lpstr>
      <vt:lpstr>Notes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Åström</cp:lastModifiedBy>
  <dcterms:created xsi:type="dcterms:W3CDTF">2026-05-18T13:29:35Z</dcterms:created>
  <dcterms:modified xsi:type="dcterms:W3CDTF">2026-05-19T08:18:42Z</dcterms:modified>
</cp:coreProperties>
</file>
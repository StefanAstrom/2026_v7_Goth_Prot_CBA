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nthesisllc.sharepoint.com/teams/External_-_Nordic_SLCPs_365/Shared Documents/Data/Eutrophication data/"/>
    </mc:Choice>
  </mc:AlternateContent>
  <xr:revisionPtr revIDLastSave="17" documentId="13_ncr:1_{D202D9A5-CEA8-4215-8697-2509B4DEA1FC}" xr6:coauthVersionLast="47" xr6:coauthVersionMax="47" xr10:uidLastSave="{B44B2993-3D4A-4590-9A50-3FEE5A6A559D}"/>
  <bookViews>
    <workbookView xWindow="-108" yWindow="-108" windowWidth="23256" windowHeight="12456" xr2:uid="{00000000-000D-0000-FFFF-FFFF00000000}"/>
  </bookViews>
  <sheets>
    <sheet name="Stats_CLmin_EUNI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" i="7" l="1"/>
  <c r="C75" i="7"/>
  <c r="C74" i="7"/>
  <c r="C73" i="7"/>
  <c r="C72" i="7"/>
  <c r="C71" i="7"/>
  <c r="C70" i="7"/>
  <c r="T22" i="7"/>
  <c r="X9" i="7" l="1"/>
  <c r="X10" i="7"/>
  <c r="X11" i="7"/>
  <c r="X12" i="7"/>
  <c r="X13" i="7"/>
  <c r="X14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V9" i="7"/>
  <c r="V10" i="7"/>
  <c r="V11" i="7"/>
  <c r="V12" i="7"/>
  <c r="V13" i="7"/>
  <c r="V14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T9" i="7"/>
  <c r="T10" i="7"/>
  <c r="T11" i="7"/>
  <c r="T12" i="7"/>
  <c r="T13" i="7"/>
  <c r="T14" i="7"/>
  <c r="T17" i="7"/>
  <c r="T18" i="7"/>
  <c r="T19" i="7"/>
  <c r="T20" i="7"/>
  <c r="T21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R9" i="7"/>
  <c r="R10" i="7"/>
  <c r="R11" i="7"/>
  <c r="R12" i="7"/>
  <c r="R13" i="7"/>
  <c r="R14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P12" i="7"/>
  <c r="P13" i="7"/>
  <c r="P14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10" i="7"/>
  <c r="P11" i="7"/>
  <c r="P9" i="7"/>
  <c r="X8" i="7"/>
  <c r="V8" i="7"/>
  <c r="T8" i="7"/>
  <c r="R8" i="7"/>
  <c r="P8" i="7"/>
  <c r="AI66" i="7" l="1"/>
  <c r="AH66" i="7"/>
  <c r="AG66" i="7"/>
  <c r="AF66" i="7"/>
  <c r="AE66" i="7"/>
  <c r="AD66" i="7"/>
  <c r="AC66" i="7"/>
  <c r="AB66" i="7"/>
  <c r="AI65" i="7"/>
  <c r="AH65" i="7"/>
  <c r="AG65" i="7"/>
  <c r="AF65" i="7"/>
  <c r="AE65" i="7"/>
  <c r="AD65" i="7"/>
  <c r="AC65" i="7"/>
  <c r="AB65" i="7"/>
  <c r="AI64" i="7"/>
  <c r="AH64" i="7"/>
  <c r="AG64" i="7"/>
  <c r="AF64" i="7"/>
  <c r="AE64" i="7"/>
  <c r="AD64" i="7"/>
  <c r="AC64" i="7"/>
  <c r="AB64" i="7"/>
  <c r="AI63" i="7"/>
  <c r="AH63" i="7"/>
  <c r="AG63" i="7"/>
  <c r="AF63" i="7"/>
  <c r="AE63" i="7"/>
  <c r="AD63" i="7"/>
  <c r="AC63" i="7"/>
  <c r="AB63" i="7"/>
  <c r="AI62" i="7"/>
  <c r="AH62" i="7"/>
  <c r="AG62" i="7"/>
  <c r="AF62" i="7"/>
  <c r="AE62" i="7"/>
  <c r="AD62" i="7"/>
  <c r="AC62" i="7"/>
  <c r="AB62" i="7"/>
  <c r="AI61" i="7"/>
  <c r="AH61" i="7"/>
  <c r="AG61" i="7"/>
  <c r="AF61" i="7"/>
  <c r="AE61" i="7"/>
  <c r="AD61" i="7"/>
  <c r="AC61" i="7"/>
  <c r="AB61" i="7"/>
  <c r="AI60" i="7"/>
  <c r="AH60" i="7"/>
  <c r="AG60" i="7"/>
  <c r="AF60" i="7"/>
  <c r="AE60" i="7"/>
  <c r="AD60" i="7"/>
  <c r="AC60" i="7"/>
  <c r="AB60" i="7"/>
  <c r="AI59" i="7"/>
  <c r="AH59" i="7"/>
  <c r="AG59" i="7"/>
  <c r="AF59" i="7"/>
  <c r="AE59" i="7"/>
  <c r="AD59" i="7"/>
  <c r="AC59" i="7"/>
  <c r="AB59" i="7"/>
  <c r="AI58" i="7"/>
  <c r="AH58" i="7"/>
  <c r="AG58" i="7"/>
  <c r="AF58" i="7"/>
  <c r="AE58" i="7"/>
  <c r="AD58" i="7"/>
  <c r="AC58" i="7"/>
  <c r="AB58" i="7"/>
  <c r="AI57" i="7"/>
  <c r="AH57" i="7"/>
  <c r="AG57" i="7"/>
  <c r="AF57" i="7"/>
  <c r="AE57" i="7"/>
  <c r="AD57" i="7"/>
  <c r="AC57" i="7"/>
  <c r="AB57" i="7"/>
  <c r="AI56" i="7"/>
  <c r="AH56" i="7"/>
  <c r="AG56" i="7"/>
  <c r="AF56" i="7"/>
  <c r="AE56" i="7"/>
  <c r="AD56" i="7"/>
  <c r="AC56" i="7"/>
  <c r="AB56" i="7"/>
  <c r="AI55" i="7"/>
  <c r="AH55" i="7"/>
  <c r="AG55" i="7"/>
  <c r="AF55" i="7"/>
  <c r="AE55" i="7"/>
  <c r="AD55" i="7"/>
  <c r="AC55" i="7"/>
  <c r="AB55" i="7"/>
  <c r="AI54" i="7"/>
  <c r="AH54" i="7"/>
  <c r="AG54" i="7"/>
  <c r="AF54" i="7"/>
  <c r="AE54" i="7"/>
  <c r="AD54" i="7"/>
  <c r="AC54" i="7"/>
  <c r="AB54" i="7"/>
  <c r="AI53" i="7"/>
  <c r="AH53" i="7"/>
  <c r="AG53" i="7"/>
  <c r="AF53" i="7"/>
  <c r="AE53" i="7"/>
  <c r="AD53" i="7"/>
  <c r="AC53" i="7"/>
  <c r="AB53" i="7"/>
  <c r="AI52" i="7"/>
  <c r="AH52" i="7"/>
  <c r="AG52" i="7"/>
  <c r="AF52" i="7"/>
  <c r="AE52" i="7"/>
  <c r="AD52" i="7"/>
  <c r="AC52" i="7"/>
  <c r="AB52" i="7"/>
  <c r="AI51" i="7"/>
  <c r="AH51" i="7"/>
  <c r="AG51" i="7"/>
  <c r="AF51" i="7"/>
  <c r="AE51" i="7"/>
  <c r="AD51" i="7"/>
  <c r="AC51" i="7"/>
  <c r="AB51" i="7"/>
  <c r="AI50" i="7"/>
  <c r="AH50" i="7"/>
  <c r="AG50" i="7"/>
  <c r="AF50" i="7"/>
  <c r="AE50" i="7"/>
  <c r="AD50" i="7"/>
  <c r="AC50" i="7"/>
  <c r="AB50" i="7"/>
  <c r="AI49" i="7"/>
  <c r="AH49" i="7"/>
  <c r="AG49" i="7"/>
  <c r="AF49" i="7"/>
  <c r="AE49" i="7"/>
  <c r="AD49" i="7"/>
  <c r="AC49" i="7"/>
  <c r="AB49" i="7"/>
  <c r="AI48" i="7"/>
  <c r="AH48" i="7"/>
  <c r="AG48" i="7"/>
  <c r="AF48" i="7"/>
  <c r="AE48" i="7"/>
  <c r="AD48" i="7"/>
  <c r="AC48" i="7"/>
  <c r="AB48" i="7"/>
  <c r="AI47" i="7"/>
  <c r="AH47" i="7"/>
  <c r="AG47" i="7"/>
  <c r="AF47" i="7"/>
  <c r="AE47" i="7"/>
  <c r="AD47" i="7"/>
  <c r="AC47" i="7"/>
  <c r="AB47" i="7"/>
  <c r="AI46" i="7"/>
  <c r="AH46" i="7"/>
  <c r="AG46" i="7"/>
  <c r="AF46" i="7"/>
  <c r="AE46" i="7"/>
  <c r="AD46" i="7"/>
  <c r="AC46" i="7"/>
  <c r="AB46" i="7"/>
  <c r="AI45" i="7"/>
  <c r="AH45" i="7"/>
  <c r="AG45" i="7"/>
  <c r="AF45" i="7"/>
  <c r="AE45" i="7"/>
  <c r="AD45" i="7"/>
  <c r="AC45" i="7"/>
  <c r="AB45" i="7"/>
  <c r="AI44" i="7"/>
  <c r="AH44" i="7"/>
  <c r="AG44" i="7"/>
  <c r="AF44" i="7"/>
  <c r="AE44" i="7"/>
  <c r="AD44" i="7"/>
  <c r="AC44" i="7"/>
  <c r="AB44" i="7"/>
  <c r="AI43" i="7"/>
  <c r="AH43" i="7"/>
  <c r="AG43" i="7"/>
  <c r="AF43" i="7"/>
  <c r="AE43" i="7"/>
  <c r="AD43" i="7"/>
  <c r="AC43" i="7"/>
  <c r="AB43" i="7"/>
  <c r="AI42" i="7"/>
  <c r="AH42" i="7"/>
  <c r="AG42" i="7"/>
  <c r="AF42" i="7"/>
  <c r="AE42" i="7"/>
  <c r="AD42" i="7"/>
  <c r="AC42" i="7"/>
  <c r="AB42" i="7"/>
  <c r="AI41" i="7"/>
  <c r="AH41" i="7"/>
  <c r="AG41" i="7"/>
  <c r="AF41" i="7"/>
  <c r="AE41" i="7"/>
  <c r="AD41" i="7"/>
  <c r="AC41" i="7"/>
  <c r="AB41" i="7"/>
  <c r="AI40" i="7"/>
  <c r="AH40" i="7"/>
  <c r="AG40" i="7"/>
  <c r="AF40" i="7"/>
  <c r="AE40" i="7"/>
  <c r="AD40" i="7"/>
  <c r="AC40" i="7"/>
  <c r="AB40" i="7"/>
  <c r="AI39" i="7"/>
  <c r="AH39" i="7"/>
  <c r="AG39" i="7"/>
  <c r="AF39" i="7"/>
  <c r="AE39" i="7"/>
  <c r="AD39" i="7"/>
  <c r="AC39" i="7"/>
  <c r="AB39" i="7"/>
  <c r="AI38" i="7"/>
  <c r="AH38" i="7"/>
  <c r="AG38" i="7"/>
  <c r="AF38" i="7"/>
  <c r="AE38" i="7"/>
  <c r="AD38" i="7"/>
  <c r="AC38" i="7"/>
  <c r="AB38" i="7"/>
  <c r="AI37" i="7"/>
  <c r="AH37" i="7"/>
  <c r="AG37" i="7"/>
  <c r="AF37" i="7"/>
  <c r="AE37" i="7"/>
  <c r="AD37" i="7"/>
  <c r="AC37" i="7"/>
  <c r="AB37" i="7"/>
  <c r="AI36" i="7"/>
  <c r="AH36" i="7"/>
  <c r="AG36" i="7"/>
  <c r="AF36" i="7"/>
  <c r="AE36" i="7"/>
  <c r="AD36" i="7"/>
  <c r="AC36" i="7"/>
  <c r="AB36" i="7"/>
  <c r="AI35" i="7"/>
  <c r="AH35" i="7"/>
  <c r="AG35" i="7"/>
  <c r="AF35" i="7"/>
  <c r="AE35" i="7"/>
  <c r="AD35" i="7"/>
  <c r="AC35" i="7"/>
  <c r="AB35" i="7"/>
  <c r="AI34" i="7"/>
  <c r="AH34" i="7"/>
  <c r="AG34" i="7"/>
  <c r="AF34" i="7"/>
  <c r="AE34" i="7"/>
  <c r="AD34" i="7"/>
  <c r="AC34" i="7"/>
  <c r="AB34" i="7"/>
  <c r="AI33" i="7"/>
  <c r="AH33" i="7"/>
  <c r="AG33" i="7"/>
  <c r="AF33" i="7"/>
  <c r="AE33" i="7"/>
  <c r="AD33" i="7"/>
  <c r="AC33" i="7"/>
  <c r="AB33" i="7"/>
  <c r="AI32" i="7"/>
  <c r="AH32" i="7"/>
  <c r="AG32" i="7"/>
  <c r="AF32" i="7"/>
  <c r="AE32" i="7"/>
  <c r="AD32" i="7"/>
  <c r="AC32" i="7"/>
  <c r="AB32" i="7"/>
  <c r="AI31" i="7"/>
  <c r="AH31" i="7"/>
  <c r="AG31" i="7"/>
  <c r="AF31" i="7"/>
  <c r="AE31" i="7"/>
  <c r="AD31" i="7"/>
  <c r="AC31" i="7"/>
  <c r="AB31" i="7"/>
  <c r="AI30" i="7"/>
  <c r="AH30" i="7"/>
  <c r="AG30" i="7"/>
  <c r="AF30" i="7"/>
  <c r="AE30" i="7"/>
  <c r="AD30" i="7"/>
  <c r="AC30" i="7"/>
  <c r="AB30" i="7"/>
  <c r="AI29" i="7"/>
  <c r="AH29" i="7"/>
  <c r="AG29" i="7"/>
  <c r="AF29" i="7"/>
  <c r="AE29" i="7"/>
  <c r="AD29" i="7"/>
  <c r="AC29" i="7"/>
  <c r="AB29" i="7"/>
  <c r="AI28" i="7"/>
  <c r="AH28" i="7"/>
  <c r="AG28" i="7"/>
  <c r="AF28" i="7"/>
  <c r="AE28" i="7"/>
  <c r="AD28" i="7"/>
  <c r="AC28" i="7"/>
  <c r="AB28" i="7"/>
  <c r="AI27" i="7"/>
  <c r="AH27" i="7"/>
  <c r="AG27" i="7"/>
  <c r="AF27" i="7"/>
  <c r="AE27" i="7"/>
  <c r="AD27" i="7"/>
  <c r="AC27" i="7"/>
  <c r="AB27" i="7"/>
  <c r="AI26" i="7"/>
  <c r="AH26" i="7"/>
  <c r="AG26" i="7"/>
  <c r="AF26" i="7"/>
  <c r="AE26" i="7"/>
  <c r="AD26" i="7"/>
  <c r="AC26" i="7"/>
  <c r="AB26" i="7"/>
  <c r="AI25" i="7"/>
  <c r="AH25" i="7"/>
  <c r="AG25" i="7"/>
  <c r="AF25" i="7"/>
  <c r="AE25" i="7"/>
  <c r="AD25" i="7"/>
  <c r="AC25" i="7"/>
  <c r="AB25" i="7"/>
  <c r="AI24" i="7"/>
  <c r="AH24" i="7"/>
  <c r="AG24" i="7"/>
  <c r="AF24" i="7"/>
  <c r="AE24" i="7"/>
  <c r="AD24" i="7"/>
  <c r="AC24" i="7"/>
  <c r="AB24" i="7"/>
  <c r="AI23" i="7"/>
  <c r="AH23" i="7"/>
  <c r="AG23" i="7"/>
  <c r="AF23" i="7"/>
  <c r="AE23" i="7"/>
  <c r="AD23" i="7"/>
  <c r="AC23" i="7"/>
  <c r="AB23" i="7"/>
  <c r="AI22" i="7"/>
  <c r="AH22" i="7"/>
  <c r="AG22" i="7"/>
  <c r="AF22" i="7"/>
  <c r="AE22" i="7"/>
  <c r="AD22" i="7"/>
  <c r="AC22" i="7"/>
  <c r="AB22" i="7"/>
  <c r="AI21" i="7"/>
  <c r="AH21" i="7"/>
  <c r="AG21" i="7"/>
  <c r="AF21" i="7"/>
  <c r="AE21" i="7"/>
  <c r="AD21" i="7"/>
  <c r="AC21" i="7"/>
  <c r="AB21" i="7"/>
  <c r="AI20" i="7"/>
  <c r="AH20" i="7"/>
  <c r="AG20" i="7"/>
  <c r="AF20" i="7"/>
  <c r="AE20" i="7"/>
  <c r="AD20" i="7"/>
  <c r="AC20" i="7"/>
  <c r="AB20" i="7"/>
  <c r="AI19" i="7"/>
  <c r="AH19" i="7"/>
  <c r="AG19" i="7"/>
  <c r="AF19" i="7"/>
  <c r="AE19" i="7"/>
  <c r="AD19" i="7"/>
  <c r="AC19" i="7"/>
  <c r="AB19" i="7"/>
  <c r="AI18" i="7"/>
  <c r="AH18" i="7"/>
  <c r="AG18" i="7"/>
  <c r="AF18" i="7"/>
  <c r="AE18" i="7"/>
  <c r="AD18" i="7"/>
  <c r="AC18" i="7"/>
  <c r="AB18" i="7"/>
  <c r="AI17" i="7"/>
  <c r="AH17" i="7"/>
  <c r="AG17" i="7"/>
  <c r="AF17" i="7"/>
  <c r="AE17" i="7"/>
  <c r="AD17" i="7"/>
  <c r="AC17" i="7"/>
  <c r="AB17" i="7"/>
  <c r="AI14" i="7"/>
  <c r="AH14" i="7"/>
  <c r="AG14" i="7"/>
  <c r="AF14" i="7"/>
  <c r="AE14" i="7"/>
  <c r="AD14" i="7"/>
  <c r="AC14" i="7"/>
  <c r="AB14" i="7"/>
  <c r="AI13" i="7"/>
  <c r="AH13" i="7"/>
  <c r="AG13" i="7"/>
  <c r="AF13" i="7"/>
  <c r="AE13" i="7"/>
  <c r="AD13" i="7"/>
  <c r="AC13" i="7"/>
  <c r="AB13" i="7"/>
  <c r="AI12" i="7"/>
  <c r="AH12" i="7"/>
  <c r="AG12" i="7"/>
  <c r="AF12" i="7"/>
  <c r="AE12" i="7"/>
  <c r="AD12" i="7"/>
  <c r="AC12" i="7"/>
  <c r="AB12" i="7"/>
  <c r="AI11" i="7"/>
  <c r="AH11" i="7"/>
  <c r="AG11" i="7"/>
  <c r="AF11" i="7"/>
  <c r="AE11" i="7"/>
  <c r="AD11" i="7"/>
  <c r="AC11" i="7"/>
  <c r="AB11" i="7"/>
  <c r="AI10" i="7"/>
  <c r="AH10" i="7"/>
  <c r="AG10" i="7"/>
  <c r="AF10" i="7"/>
  <c r="AE10" i="7"/>
  <c r="AD10" i="7"/>
  <c r="AC10" i="7"/>
  <c r="AB10" i="7"/>
  <c r="AI9" i="7"/>
  <c r="AH9" i="7"/>
  <c r="AG9" i="7"/>
  <c r="AF9" i="7"/>
  <c r="AE9" i="7"/>
  <c r="AD9" i="7"/>
  <c r="AC9" i="7"/>
  <c r="AB9" i="7"/>
  <c r="AI8" i="7"/>
  <c r="AH8" i="7"/>
  <c r="AG8" i="7"/>
  <c r="AF8" i="7"/>
  <c r="AE8" i="7"/>
  <c r="AD8" i="7"/>
  <c r="AC8" i="7"/>
  <c r="AB8" i="7"/>
</calcChain>
</file>

<file path=xl/sharedStrings.xml><?xml version="1.0" encoding="utf-8"?>
<sst xmlns="http://schemas.openxmlformats.org/spreadsheetml/2006/main" count="238" uniqueCount="87">
  <si>
    <t>km²</t>
  </si>
  <si>
    <t>AAE</t>
  </si>
  <si>
    <t>Base 2015</t>
  </si>
  <si>
    <t>AAE [kg/(ha a)]</t>
  </si>
  <si>
    <t>MTFR 2040</t>
  </si>
  <si>
    <t>CLE 2040</t>
  </si>
  <si>
    <t>OPT 2040</t>
  </si>
  <si>
    <t>OPT_hv 2040</t>
  </si>
  <si>
    <t>AAE [%]</t>
  </si>
  <si>
    <t>Share of the area at risk [%]</t>
  </si>
  <si>
    <t>Relative change (to Base 2015)</t>
  </si>
  <si>
    <t>EUNIS_recode</t>
  </si>
  <si>
    <t>Inland surface waters</t>
  </si>
  <si>
    <t>Marine habitats</t>
  </si>
  <si>
    <t>Coastal habitats</t>
  </si>
  <si>
    <t>Wetlands</t>
  </si>
  <si>
    <t>Grasslands and lands dominated by forbs, mosses, or lichens</t>
  </si>
  <si>
    <t>Heathland, scrub, and tundra</t>
  </si>
  <si>
    <t>Forest and other wooded land</t>
  </si>
  <si>
    <t>N13</t>
  </si>
  <si>
    <t>N14</t>
  </si>
  <si>
    <t>N15</t>
  </si>
  <si>
    <t>N1H</t>
  </si>
  <si>
    <t>Q1</t>
  </si>
  <si>
    <t>Q2</t>
  </si>
  <si>
    <t>Q3</t>
  </si>
  <si>
    <t>Q41</t>
  </si>
  <si>
    <t>Q42</t>
  </si>
  <si>
    <t>Q44</t>
  </si>
  <si>
    <t>Q45</t>
  </si>
  <si>
    <t>R1A</t>
  </si>
  <si>
    <t>R1D</t>
  </si>
  <si>
    <t>R1E</t>
  </si>
  <si>
    <t>R1F</t>
  </si>
  <si>
    <t>R1M</t>
  </si>
  <si>
    <t>R1P</t>
  </si>
  <si>
    <t>R1Q</t>
  </si>
  <si>
    <t>R22</t>
  </si>
  <si>
    <t>R23</t>
  </si>
  <si>
    <t>R35</t>
  </si>
  <si>
    <t>R37</t>
  </si>
  <si>
    <t>R42</t>
  </si>
  <si>
    <t>R43</t>
  </si>
  <si>
    <t>R44</t>
  </si>
  <si>
    <t>S1</t>
  </si>
  <si>
    <t>S2</t>
  </si>
  <si>
    <t>S31</t>
  </si>
  <si>
    <t>S42</t>
  </si>
  <si>
    <t>S5</t>
  </si>
  <si>
    <t>S6</t>
  </si>
  <si>
    <t>T1</t>
  </si>
  <si>
    <t>T17</t>
  </si>
  <si>
    <t>T18</t>
  </si>
  <si>
    <t>T1B</t>
  </si>
  <si>
    <t>T1E</t>
  </si>
  <si>
    <t>T3</t>
  </si>
  <si>
    <t>T31</t>
  </si>
  <si>
    <t>T32</t>
  </si>
  <si>
    <t>T33</t>
  </si>
  <si>
    <t>T35</t>
  </si>
  <si>
    <t>T37</t>
  </si>
  <si>
    <t>T3A</t>
  </si>
  <si>
    <t>T3F</t>
  </si>
  <si>
    <t>T3G</t>
  </si>
  <si>
    <t>C1.1</t>
  </si>
  <si>
    <t>C1.2</t>
  </si>
  <si>
    <t>MA224</t>
  </si>
  <si>
    <t>N1J1</t>
  </si>
  <si>
    <t>S411</t>
  </si>
  <si>
    <t>total receptor area</t>
  </si>
  <si>
    <t>EUNIS</t>
  </si>
  <si>
    <r>
      <t>Exceedance of CLempN (</t>
    </r>
    <r>
      <rPr>
        <sz val="11"/>
        <color rgb="FFFF0000"/>
        <rFont val="Calibri"/>
        <family val="2"/>
        <scheme val="minor"/>
      </rPr>
      <t>min</t>
    </r>
    <r>
      <rPr>
        <sz val="11"/>
        <color theme="1"/>
        <rFont val="Calibri"/>
        <family val="2"/>
        <scheme val="minor"/>
      </rPr>
      <t>)</t>
    </r>
  </si>
  <si>
    <t>AAR_abs</t>
  </si>
  <si>
    <t>AAR_rel</t>
  </si>
  <si>
    <t>Average Accumulated Exceedance</t>
  </si>
  <si>
    <t>Area At Risk (absolute values)</t>
  </si>
  <si>
    <t>Area At Risk (relative values)</t>
  </si>
  <si>
    <t>AAR_abs [km²]</t>
  </si>
  <si>
    <t>AAR_rel [%]</t>
  </si>
  <si>
    <r>
      <t>Absolute area at risk [km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</si>
  <si>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t>C</t>
  </si>
  <si>
    <t>MA</t>
  </si>
  <si>
    <t>N</t>
  </si>
  <si>
    <t>Q</t>
  </si>
  <si>
    <t>R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</si>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</sst>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6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Cambria"/>
      <family val="1"/>
    </font>
    <font>
      <sz val="10"/>
      <color rgb="FF000000"/>
      <name val="Cambria"/>
      <family val="1"/>
    </font>
    <font>
      <b/>
      <sz val="10"/>
      <color rgb="FFFFFFFF"/>
      <name val="Cambria"/>
      <family val="1"/>
    </font>
    <font>
      <b/>
      <sz val="10"/>
      <name val="Cambria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A87A4"/>
        <bgColor indexed="64"/>
      </patternFill>
    </fill>
    <fill>
      <patternFill patternType="solid">
        <fgColor rgb="FF009BD5"/>
        <bgColor indexed="64"/>
      </patternFill>
    </fill>
    <fill>
      <patternFill patternType="solid">
        <fgColor rgb="FFCBDEE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theme="1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2" fillId="4" borderId="1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1" fontId="2" fillId="4" borderId="1" xfId="0" applyNumberFormat="1" applyFont="1" applyFill="1" applyBorder="1" applyAlignment="1">
      <alignment horizontal="right" wrapText="1" readingOrder="1"/>
    </xf>
    <xf numFmtId="1" fontId="4" fillId="3" borderId="6" xfId="0" applyNumberFormat="1" applyFont="1" applyFill="1" applyBorder="1" applyAlignment="1">
      <alignment horizontal="right" wrapText="1" readingOrder="1"/>
    </xf>
    <xf numFmtId="164" fontId="2" fillId="4" borderId="1" xfId="0" applyNumberFormat="1" applyFont="1" applyFill="1" applyBorder="1" applyAlignment="1">
      <alignment horizontal="right" wrapText="1" readingOrder="1"/>
    </xf>
    <xf numFmtId="164" fontId="4" fillId="3" borderId="6" xfId="0" applyNumberFormat="1" applyFont="1" applyFill="1" applyBorder="1" applyAlignment="1">
      <alignment horizontal="right" wrapText="1" readingOrder="1"/>
    </xf>
    <xf numFmtId="0" fontId="0" fillId="0" borderId="0" xfId="0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vertical="center"/>
    </xf>
    <xf numFmtId="0" fontId="0" fillId="0" borderId="0" xfId="0" applyAlignment="1">
      <alignment wrapText="1"/>
    </xf>
    <xf numFmtId="0" fontId="4" fillId="3" borderId="6" xfId="0" applyFont="1" applyFill="1" applyBorder="1" applyAlignment="1">
      <alignment horizontal="left" wrapText="1" readingOrder="1"/>
    </xf>
    <xf numFmtId="0" fontId="1" fillId="3" borderId="4" xfId="0" applyFont="1" applyFill="1" applyBorder="1" applyAlignment="1">
      <alignment horizontal="left" vertical="center" wrapText="1" readingOrder="1"/>
    </xf>
    <xf numFmtId="164" fontId="2" fillId="4" borderId="1" xfId="0" applyNumberFormat="1" applyFont="1" applyFill="1" applyBorder="1" applyAlignment="1">
      <alignment horizontal="left" vertical="center" wrapText="1" readingOrder="1"/>
    </xf>
    <xf numFmtId="0" fontId="0" fillId="5" borderId="0" xfId="0" applyFill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3" fontId="0" fillId="0" borderId="0" xfId="0" applyNumberFormat="1" applyAlignment="1">
      <alignment horizontal="center" vertical="center"/>
    </xf>
    <xf numFmtId="0" fontId="3" fillId="3" borderId="4" xfId="0" applyFont="1" applyFill="1" applyBorder="1" applyAlignment="1">
      <alignment horizontal="left" vertical="center" wrapText="1" readingOrder="1"/>
    </xf>
    <xf numFmtId="0" fontId="1" fillId="3" borderId="5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horizontal="left" vertical="center" wrapText="1" readingOrder="1"/>
    </xf>
    <xf numFmtId="0" fontId="1" fillId="3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1" fillId="3" borderId="4" xfId="0" applyFont="1" applyFill="1" applyBorder="1" applyAlignment="1">
      <alignment horizontal="center" vertical="center" wrapText="1" readingOrder="1"/>
    </xf>
    <xf numFmtId="0" fontId="1" fillId="3" borderId="5" xfId="0" applyFont="1" applyFill="1" applyBorder="1" applyAlignment="1">
      <alignment horizontal="center" vertical="center" wrapText="1" readingOrder="1"/>
    </xf>
    <xf numFmtId="166" fontId="2" fillId="4" borderId="1" xfId="1" applyNumberFormat="1" applyFont="1" applyFill="1" applyBorder="1" applyAlignment="1">
      <alignment horizontal="right" wrapText="1" readingOrder="1"/>
    </xf>
    <xf numFmtId="166" fontId="4" fillId="3" borderId="6" xfId="1" applyNumberFormat="1" applyFont="1" applyFill="1" applyBorder="1" applyAlignment="1">
      <alignment horizontal="right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  <color rgb="FFFFD700"/>
      <color rgb="FF17BECF"/>
      <color rgb="FF7F7F7F"/>
      <color rgb="FFFF7F0E"/>
      <color rgb="FF165785"/>
      <color rgb="FF0F8C98"/>
      <color rgb="FF6E6E6E"/>
      <color rgb="FFC09F00"/>
      <color rgb="FFC462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34A83-9D73-48F8-855A-9F7BD27A5F9B}">
  <dimension ref="A1:AI167"/>
  <sheetViews>
    <sheetView tabSelected="1" zoomScaleNormal="100" workbookViewId="0">
      <pane xSplit="2" ySplit="7" topLeftCell="C12" activePane="bottomRight" state="frozen"/>
      <selection pane="topRight" activeCell="C1" sqref="C1"/>
      <selection pane="bottomLeft" activeCell="A4" sqref="A4"/>
      <selection pane="bottomRight" activeCell="C53" sqref="C53:C66"/>
    </sheetView>
  </sheetViews>
  <sheetFormatPr defaultColWidth="9.109375" defaultRowHeight="14.4" x14ac:dyDescent="0.3"/>
  <cols>
    <col min="1" max="1" width="11.88671875" style="8" bestFit="1" customWidth="1"/>
    <col min="2" max="2" width="32.6640625" bestFit="1" customWidth="1"/>
    <col min="3" max="3" width="12.6640625" bestFit="1" customWidth="1"/>
    <col min="4" max="4" width="12" bestFit="1" customWidth="1"/>
    <col min="5" max="5" width="12.88671875" bestFit="1" customWidth="1"/>
    <col min="6" max="6" width="12" bestFit="1" customWidth="1"/>
    <col min="7" max="7" width="12.88671875" bestFit="1" customWidth="1"/>
    <col min="8" max="8" width="12" bestFit="1" customWidth="1"/>
    <col min="9" max="9" width="12.88671875" bestFit="1" customWidth="1"/>
    <col min="10" max="10" width="12" bestFit="1" customWidth="1"/>
    <col min="11" max="11" width="12.88671875" bestFit="1" customWidth="1"/>
    <col min="12" max="12" width="12" bestFit="1" customWidth="1"/>
    <col min="13" max="13" width="12.88671875" bestFit="1" customWidth="1"/>
    <col min="15" max="16" width="20.88671875" style="11" customWidth="1"/>
    <col min="17" max="17" width="12.88671875" bestFit="1" customWidth="1"/>
    <col min="18" max="18" width="12.88671875" customWidth="1"/>
    <col min="19" max="19" width="12.88671875" bestFit="1" customWidth="1"/>
    <col min="20" max="20" width="12.88671875" customWidth="1"/>
    <col min="21" max="21" width="12.88671875" bestFit="1" customWidth="1"/>
    <col min="22" max="22" width="12.88671875" customWidth="1"/>
    <col min="23" max="23" width="12.88671875" bestFit="1" customWidth="1"/>
    <col min="24" max="24" width="12.88671875" customWidth="1"/>
    <col min="25" max="25" width="12.88671875" bestFit="1" customWidth="1"/>
    <col min="27" max="27" width="18.88671875" style="11" customWidth="1"/>
  </cols>
  <sheetData>
    <row r="1" spans="2:35" x14ac:dyDescent="0.3">
      <c r="B1" s="16" t="s">
        <v>1</v>
      </c>
      <c r="C1" s="16" t="s">
        <v>74</v>
      </c>
    </row>
    <row r="2" spans="2:35" x14ac:dyDescent="0.3">
      <c r="B2" s="16" t="s">
        <v>72</v>
      </c>
      <c r="C2" s="16" t="s">
        <v>75</v>
      </c>
    </row>
    <row r="3" spans="2:35" x14ac:dyDescent="0.3">
      <c r="B3" s="16" t="s">
        <v>73</v>
      </c>
      <c r="C3" s="16" t="s">
        <v>76</v>
      </c>
    </row>
    <row r="4" spans="2:35" x14ac:dyDescent="0.3">
      <c r="B4" s="16"/>
      <c r="C4" s="16"/>
    </row>
    <row r="5" spans="2:35" ht="31.2" thickBot="1" x14ac:dyDescent="0.35">
      <c r="B5" s="15" t="s">
        <v>71</v>
      </c>
      <c r="C5" s="17" t="s">
        <v>79</v>
      </c>
      <c r="O5" s="17" t="s">
        <v>9</v>
      </c>
      <c r="AA5" s="11" t="s">
        <v>10</v>
      </c>
    </row>
    <row r="6" spans="2:35" ht="40.200000000000003" thickBot="1" x14ac:dyDescent="0.35">
      <c r="B6" s="21" t="s">
        <v>11</v>
      </c>
      <c r="C6" s="13" t="s">
        <v>69</v>
      </c>
      <c r="D6" s="23" t="s">
        <v>2</v>
      </c>
      <c r="E6" s="20"/>
      <c r="F6" s="23" t="s">
        <v>5</v>
      </c>
      <c r="G6" s="20"/>
      <c r="H6" s="23" t="s">
        <v>6</v>
      </c>
      <c r="I6" s="20"/>
      <c r="J6" s="23" t="s">
        <v>7</v>
      </c>
      <c r="K6" s="20"/>
      <c r="L6" s="19" t="s">
        <v>4</v>
      </c>
      <c r="M6" s="20"/>
      <c r="O6" s="21" t="s">
        <v>11</v>
      </c>
      <c r="P6" s="26" t="s">
        <v>2</v>
      </c>
      <c r="Q6" s="27"/>
      <c r="R6" s="26" t="s">
        <v>5</v>
      </c>
      <c r="S6" s="27"/>
      <c r="T6" s="26" t="s">
        <v>6</v>
      </c>
      <c r="U6" s="27"/>
      <c r="V6" s="26" t="s">
        <v>7</v>
      </c>
      <c r="W6" s="27"/>
      <c r="X6" s="24" t="s">
        <v>4</v>
      </c>
      <c r="Y6" s="25"/>
      <c r="AA6" s="21" t="s">
        <v>11</v>
      </c>
      <c r="AB6" s="23" t="s">
        <v>5</v>
      </c>
      <c r="AC6" s="20"/>
      <c r="AD6" s="23" t="s">
        <v>6</v>
      </c>
      <c r="AE6" s="20"/>
      <c r="AF6" s="23" t="s">
        <v>7</v>
      </c>
      <c r="AG6" s="20"/>
      <c r="AH6" s="19" t="s">
        <v>4</v>
      </c>
      <c r="AI6" s="20"/>
    </row>
    <row r="7" spans="2:35" ht="27" thickBot="1" x14ac:dyDescent="0.35">
      <c r="B7" s="22"/>
      <c r="C7" s="3" t="s">
        <v>0</v>
      </c>
      <c r="D7" s="3" t="s">
        <v>3</v>
      </c>
      <c r="E7" s="1" t="s">
        <v>77</v>
      </c>
      <c r="F7" s="3" t="s">
        <v>3</v>
      </c>
      <c r="G7" s="1" t="s">
        <v>77</v>
      </c>
      <c r="H7" s="3" t="s">
        <v>3</v>
      </c>
      <c r="I7" s="1" t="s">
        <v>77</v>
      </c>
      <c r="J7" s="3" t="s">
        <v>3</v>
      </c>
      <c r="K7" s="1" t="s">
        <v>77</v>
      </c>
      <c r="L7" s="3" t="s">
        <v>3</v>
      </c>
      <c r="M7" s="1" t="s">
        <v>77</v>
      </c>
      <c r="O7" s="22"/>
      <c r="P7" s="3" t="s">
        <v>3</v>
      </c>
      <c r="Q7" s="1" t="s">
        <v>78</v>
      </c>
      <c r="R7" s="3" t="s">
        <v>3</v>
      </c>
      <c r="S7" s="1" t="s">
        <v>78</v>
      </c>
      <c r="T7" s="3" t="s">
        <v>3</v>
      </c>
      <c r="U7" s="1" t="s">
        <v>78</v>
      </c>
      <c r="V7" s="3" t="s">
        <v>3</v>
      </c>
      <c r="W7" s="1" t="s">
        <v>78</v>
      </c>
      <c r="X7" s="3" t="s">
        <v>3</v>
      </c>
      <c r="Y7" s="1" t="s">
        <v>78</v>
      </c>
      <c r="AA7" s="22"/>
      <c r="AB7" s="3" t="s">
        <v>8</v>
      </c>
      <c r="AC7" s="1" t="s">
        <v>78</v>
      </c>
      <c r="AD7" s="3" t="s">
        <v>8</v>
      </c>
      <c r="AE7" s="1" t="s">
        <v>78</v>
      </c>
      <c r="AF7" s="3" t="s">
        <v>8</v>
      </c>
      <c r="AG7" s="1" t="s">
        <v>78</v>
      </c>
      <c r="AH7" s="3" t="s">
        <v>8</v>
      </c>
      <c r="AI7" s="1" t="s">
        <v>78</v>
      </c>
    </row>
    <row r="8" spans="2:35" ht="15" thickBot="1" x14ac:dyDescent="0.35">
      <c r="B8" s="2" t="s">
        <v>12</v>
      </c>
      <c r="C8" s="28">
        <v>2029.29</v>
      </c>
      <c r="D8" s="6">
        <v>0.30509999999999998</v>
      </c>
      <c r="E8" s="4">
        <v>404.91032156999995</v>
      </c>
      <c r="F8" s="6">
        <v>0.20710000000000001</v>
      </c>
      <c r="G8" s="4">
        <v>223.83677487</v>
      </c>
      <c r="H8" s="6">
        <v>0.17369999999999999</v>
      </c>
      <c r="I8" s="4">
        <v>199.67807742000002</v>
      </c>
      <c r="J8" s="6">
        <v>0.1409</v>
      </c>
      <c r="K8" s="4">
        <v>190.79384579999999</v>
      </c>
      <c r="L8" s="6">
        <v>0.1158</v>
      </c>
      <c r="M8" s="4">
        <v>153.62739944999998</v>
      </c>
      <c r="O8" s="2" t="s">
        <v>12</v>
      </c>
      <c r="P8" s="6">
        <f>D8</f>
        <v>0.30509999999999998</v>
      </c>
      <c r="Q8" s="6">
        <v>19.953299999999999</v>
      </c>
      <c r="R8" s="6">
        <f>F8</f>
        <v>0.20710000000000001</v>
      </c>
      <c r="S8" s="6">
        <v>11.0303</v>
      </c>
      <c r="T8" s="6">
        <f>H8</f>
        <v>0.17369999999999999</v>
      </c>
      <c r="U8" s="6">
        <v>9.8398000000000003</v>
      </c>
      <c r="V8" s="6">
        <f>J8</f>
        <v>0.1409</v>
      </c>
      <c r="W8" s="6">
        <v>9.4019999999999992</v>
      </c>
      <c r="X8" s="6">
        <f>L8</f>
        <v>0.1158</v>
      </c>
      <c r="Y8" s="6">
        <v>7.5705</v>
      </c>
      <c r="AA8" s="2" t="s">
        <v>12</v>
      </c>
      <c r="AB8" s="6">
        <f>(F8 * 100/$D8) - 100</f>
        <v>-32.120616191412651</v>
      </c>
      <c r="AC8" s="6">
        <f>(G8 * 100/$E8) - 100</f>
        <v>-44.719419845338855</v>
      </c>
      <c r="AD8" s="6">
        <f>(H8 * 100/$D8) - 100</f>
        <v>-43.067846607669608</v>
      </c>
      <c r="AE8" s="6">
        <f>(I8 * 100/$E8) - 100</f>
        <v>-50.685851463166486</v>
      </c>
      <c r="AF8" s="6">
        <f>(J8 * 100/$D8) - 100</f>
        <v>-53.818420190101605</v>
      </c>
      <c r="AG8" s="6">
        <f>(K8 * 100/$E8) - 100</f>
        <v>-52.879974741020284</v>
      </c>
      <c r="AH8" s="6">
        <f>(L8 * 100/$D8) - 100</f>
        <v>-62.045231071779739</v>
      </c>
      <c r="AI8" s="6">
        <f>(M8 * 100/$E8) - 100</f>
        <v>-62.058907549127213</v>
      </c>
    </row>
    <row r="9" spans="2:35" ht="15" thickBot="1" x14ac:dyDescent="0.35">
      <c r="B9" s="2" t="s">
        <v>13</v>
      </c>
      <c r="C9" s="28">
        <v>366206.33899999998</v>
      </c>
      <c r="D9" s="6">
        <v>4.3099999999999999E-2</v>
      </c>
      <c r="E9" s="4">
        <v>5565.2377337830003</v>
      </c>
      <c r="F9" s="6">
        <v>8.6699999999999999E-2</v>
      </c>
      <c r="G9" s="4">
        <v>6811.8041117390003</v>
      </c>
      <c r="H9" s="6">
        <v>5.4899999999999997E-2</v>
      </c>
      <c r="I9" s="4">
        <v>5786.7925688779997</v>
      </c>
      <c r="J9" s="6">
        <v>3.32E-2</v>
      </c>
      <c r="K9" s="4">
        <v>4655.581187707</v>
      </c>
      <c r="L9" s="6">
        <v>2.8500000000000001E-2</v>
      </c>
      <c r="M9" s="4">
        <v>4164.4984871079996</v>
      </c>
      <c r="O9" s="2" t="s">
        <v>13</v>
      </c>
      <c r="P9" s="6">
        <f>D9</f>
        <v>4.3099999999999999E-2</v>
      </c>
      <c r="Q9" s="6">
        <v>1.5197000000000001</v>
      </c>
      <c r="R9" s="6">
        <f t="shared" ref="R9:R66" si="0">F9</f>
        <v>8.6699999999999999E-2</v>
      </c>
      <c r="S9" s="6">
        <v>1.8601000000000001</v>
      </c>
      <c r="T9" s="6">
        <f t="shared" ref="T9:T66" si="1">H9</f>
        <v>5.4899999999999997E-2</v>
      </c>
      <c r="U9" s="6">
        <v>1.5802</v>
      </c>
      <c r="V9" s="6">
        <f t="shared" ref="V9:V66" si="2">J9</f>
        <v>3.32E-2</v>
      </c>
      <c r="W9" s="6">
        <v>1.2713000000000001</v>
      </c>
      <c r="X9" s="6">
        <f t="shared" ref="X9:X66" si="3">L9</f>
        <v>2.8500000000000001E-2</v>
      </c>
      <c r="Y9" s="6">
        <v>1.1372</v>
      </c>
      <c r="AA9" s="2" t="s">
        <v>13</v>
      </c>
      <c r="AB9" s="6">
        <f>(F9 * 100/$D9) - 100</f>
        <v>101.1600928074246</v>
      </c>
      <c r="AC9" s="6">
        <f t="shared" ref="AC9:AC14" si="4">(G9 * 100/$E9) - 100</f>
        <v>22.399157728499034</v>
      </c>
      <c r="AD9" s="6">
        <f t="shared" ref="AD9:AD14" si="5">(H9 * 100/$D9) - 100</f>
        <v>27.378190255220403</v>
      </c>
      <c r="AE9" s="6">
        <f t="shared" ref="AE9:AE14" si="6">(I9 * 100/$E9) - 100</f>
        <v>3.9810488912285109</v>
      </c>
      <c r="AF9" s="6">
        <f t="shared" ref="AF9:AF14" si="7">(J9 * 100/$D9) - 100</f>
        <v>-22.969837587006964</v>
      </c>
      <c r="AG9" s="6">
        <f t="shared" ref="AG9:AG14" si="8">(K9 * 100/$E9) - 100</f>
        <v>-16.345331315391192</v>
      </c>
      <c r="AH9" s="6">
        <f t="shared" ref="AH9:AH14" si="9">(L9 * 100/$D9) - 100</f>
        <v>-33.874709976798144</v>
      </c>
      <c r="AI9" s="6">
        <f t="shared" ref="AI9:AI14" si="10">(M9 * 100/$E9) - 100</f>
        <v>-25.169441337106022</v>
      </c>
    </row>
    <row r="10" spans="2:35" ht="15" thickBot="1" x14ac:dyDescent="0.35">
      <c r="B10" s="2" t="s">
        <v>14</v>
      </c>
      <c r="C10" s="28">
        <v>5383.9470000000001</v>
      </c>
      <c r="D10" s="6">
        <v>0.60589999999999999</v>
      </c>
      <c r="E10" s="4">
        <v>914.38263874500001</v>
      </c>
      <c r="F10" s="6">
        <v>0.33429999999999999</v>
      </c>
      <c r="G10" s="4">
        <v>611.33103000899996</v>
      </c>
      <c r="H10" s="6">
        <v>0.24399999999999999</v>
      </c>
      <c r="I10" s="4">
        <v>436.53580670700001</v>
      </c>
      <c r="J10" s="6">
        <v>0.1623</v>
      </c>
      <c r="K10" s="4">
        <v>296.10631710600001</v>
      </c>
      <c r="L10" s="6">
        <v>0.1222</v>
      </c>
      <c r="M10" s="4">
        <v>244.87267745399996</v>
      </c>
      <c r="O10" s="2" t="s">
        <v>14</v>
      </c>
      <c r="P10" s="6">
        <f>D10</f>
        <v>0.60589999999999999</v>
      </c>
      <c r="Q10" s="6">
        <v>16.983499999999999</v>
      </c>
      <c r="R10" s="6">
        <f t="shared" si="0"/>
        <v>0.33429999999999999</v>
      </c>
      <c r="S10" s="6">
        <v>11.354699999999999</v>
      </c>
      <c r="T10" s="6">
        <f t="shared" si="1"/>
        <v>0.24399999999999999</v>
      </c>
      <c r="U10" s="6">
        <v>8.1081000000000003</v>
      </c>
      <c r="V10" s="6">
        <f t="shared" si="2"/>
        <v>0.1623</v>
      </c>
      <c r="W10" s="6">
        <v>5.4997999999999996</v>
      </c>
      <c r="X10" s="6">
        <f t="shared" si="3"/>
        <v>0.1222</v>
      </c>
      <c r="Y10" s="6">
        <v>4.5481999999999996</v>
      </c>
      <c r="AA10" s="2" t="s">
        <v>14</v>
      </c>
      <c r="AB10" s="6">
        <f t="shared" ref="AB10:AB14" si="11">(F10 * 100/$D10) - 100</f>
        <v>-44.825878857897344</v>
      </c>
      <c r="AC10" s="6">
        <f t="shared" si="4"/>
        <v>-33.142756204551489</v>
      </c>
      <c r="AD10" s="6">
        <f t="shared" si="5"/>
        <v>-59.729328271992081</v>
      </c>
      <c r="AE10" s="6">
        <f t="shared" si="6"/>
        <v>-52.25895722318721</v>
      </c>
      <c r="AF10" s="6">
        <f t="shared" si="7"/>
        <v>-73.213401551411124</v>
      </c>
      <c r="AG10" s="6">
        <f t="shared" si="8"/>
        <v>-67.616804545588366</v>
      </c>
      <c r="AH10" s="6">
        <f t="shared" si="9"/>
        <v>-79.831655388678001</v>
      </c>
      <c r="AI10" s="6">
        <f t="shared" si="10"/>
        <v>-73.21988989313158</v>
      </c>
    </row>
    <row r="11" spans="2:35" ht="15" thickBot="1" x14ac:dyDescent="0.35">
      <c r="B11" s="2" t="s">
        <v>15</v>
      </c>
      <c r="C11" s="28">
        <v>463866.39</v>
      </c>
      <c r="D11" s="6">
        <v>0.1255</v>
      </c>
      <c r="E11" s="4">
        <v>33330.655587059999</v>
      </c>
      <c r="F11" s="6">
        <v>7.1400000000000005E-2</v>
      </c>
      <c r="G11" s="4">
        <v>24392.414118149998</v>
      </c>
      <c r="H11" s="6">
        <v>5.3100000000000001E-2</v>
      </c>
      <c r="I11" s="4">
        <v>20069.643229740002</v>
      </c>
      <c r="J11" s="6">
        <v>4.8300000000000003E-2</v>
      </c>
      <c r="K11" s="4">
        <v>18946.158833159996</v>
      </c>
      <c r="L11" s="6">
        <v>2.7199999999999998E-2</v>
      </c>
      <c r="M11" s="4">
        <v>13558.350713309999</v>
      </c>
      <c r="O11" s="2" t="s">
        <v>15</v>
      </c>
      <c r="P11" s="6">
        <f>D11</f>
        <v>0.1255</v>
      </c>
      <c r="Q11" s="6">
        <v>7.1853999999999996</v>
      </c>
      <c r="R11" s="6">
        <f t="shared" si="0"/>
        <v>7.1400000000000005E-2</v>
      </c>
      <c r="S11" s="6">
        <v>5.2584999999999997</v>
      </c>
      <c r="T11" s="6">
        <f t="shared" si="1"/>
        <v>5.3100000000000001E-2</v>
      </c>
      <c r="U11" s="6">
        <v>4.3266</v>
      </c>
      <c r="V11" s="6">
        <f t="shared" si="2"/>
        <v>4.8300000000000003E-2</v>
      </c>
      <c r="W11" s="6">
        <v>4.0843999999999996</v>
      </c>
      <c r="X11" s="6">
        <f t="shared" si="3"/>
        <v>2.7199999999999998E-2</v>
      </c>
      <c r="Y11" s="6">
        <v>2.9228999999999998</v>
      </c>
      <c r="AA11" s="2" t="s">
        <v>15</v>
      </c>
      <c r="AB11" s="6">
        <f t="shared" si="11"/>
        <v>-43.107569721115532</v>
      </c>
      <c r="AC11" s="6">
        <f t="shared" si="4"/>
        <v>-26.816878670637692</v>
      </c>
      <c r="AD11" s="6">
        <f t="shared" si="5"/>
        <v>-57.689243027888445</v>
      </c>
      <c r="AE11" s="6">
        <f t="shared" si="6"/>
        <v>-39.786233195090034</v>
      </c>
      <c r="AF11" s="6">
        <f t="shared" si="7"/>
        <v>-61.513944223107572</v>
      </c>
      <c r="AG11" s="6">
        <f t="shared" si="8"/>
        <v>-43.156957163136369</v>
      </c>
      <c r="AH11" s="6">
        <f t="shared" si="9"/>
        <v>-78.326693227091639</v>
      </c>
      <c r="AI11" s="6">
        <f t="shared" si="10"/>
        <v>-59.321680073482341</v>
      </c>
    </row>
    <row r="12" spans="2:35" ht="40.200000000000003" thickBot="1" x14ac:dyDescent="0.35">
      <c r="B12" s="2" t="s">
        <v>16</v>
      </c>
      <c r="C12" s="28">
        <v>1433578.8529999999</v>
      </c>
      <c r="D12" s="6">
        <v>0.69369999999999998</v>
      </c>
      <c r="E12" s="4">
        <v>398292.64630784298</v>
      </c>
      <c r="F12" s="6">
        <v>0.7147</v>
      </c>
      <c r="G12" s="4">
        <v>381962.74959331995</v>
      </c>
      <c r="H12" s="6">
        <v>0.55300000000000005</v>
      </c>
      <c r="I12" s="4">
        <v>330593.31855377095</v>
      </c>
      <c r="J12" s="6">
        <v>0.42709999999999998</v>
      </c>
      <c r="K12" s="4">
        <v>282449.43993347196</v>
      </c>
      <c r="L12" s="6">
        <v>0.36830000000000002</v>
      </c>
      <c r="M12" s="4">
        <v>250291.39910297596</v>
      </c>
      <c r="O12" s="2" t="s">
        <v>16</v>
      </c>
      <c r="P12" s="6">
        <f t="shared" ref="P12:P66" si="12">D12</f>
        <v>0.69369999999999998</v>
      </c>
      <c r="Q12" s="6">
        <v>27.783100000000001</v>
      </c>
      <c r="R12" s="6">
        <f t="shared" si="0"/>
        <v>0.7147</v>
      </c>
      <c r="S12" s="6">
        <v>26.643999999999998</v>
      </c>
      <c r="T12" s="6">
        <f t="shared" si="1"/>
        <v>0.55300000000000005</v>
      </c>
      <c r="U12" s="6">
        <v>23.060700000000001</v>
      </c>
      <c r="V12" s="6">
        <f t="shared" si="2"/>
        <v>0.42709999999999998</v>
      </c>
      <c r="W12" s="6">
        <v>19.702400000000001</v>
      </c>
      <c r="X12" s="6">
        <f t="shared" si="3"/>
        <v>0.36830000000000002</v>
      </c>
      <c r="Y12" s="6">
        <v>17.459199999999999</v>
      </c>
      <c r="AA12" s="2" t="s">
        <v>16</v>
      </c>
      <c r="AB12" s="6">
        <f t="shared" si="11"/>
        <v>3.0272452068617497</v>
      </c>
      <c r="AC12" s="6">
        <f t="shared" si="4"/>
        <v>-4.0999744448963611</v>
      </c>
      <c r="AD12" s="6">
        <f t="shared" si="5"/>
        <v>-20.282542885973754</v>
      </c>
      <c r="AE12" s="6">
        <f t="shared" si="6"/>
        <v>-16.997383301359463</v>
      </c>
      <c r="AF12" s="6">
        <f t="shared" si="7"/>
        <v>-38.431598673778289</v>
      </c>
      <c r="AG12" s="6">
        <f t="shared" si="8"/>
        <v>-29.08494732409271</v>
      </c>
      <c r="AH12" s="6">
        <f t="shared" si="9"/>
        <v>-46.907885252991207</v>
      </c>
      <c r="AI12" s="6">
        <f t="shared" si="10"/>
        <v>-37.158920350860782</v>
      </c>
    </row>
    <row r="13" spans="2:35" ht="27" thickBot="1" x14ac:dyDescent="0.35">
      <c r="B13" s="2" t="s">
        <v>17</v>
      </c>
      <c r="C13" s="28">
        <v>448142.09600000002</v>
      </c>
      <c r="D13" s="6">
        <v>1.5218</v>
      </c>
      <c r="E13" s="4">
        <v>169306.73944251199</v>
      </c>
      <c r="F13" s="6">
        <v>1.2493000000000001</v>
      </c>
      <c r="G13" s="4">
        <v>157002.55005473603</v>
      </c>
      <c r="H13" s="6">
        <v>1.079</v>
      </c>
      <c r="I13" s="4">
        <v>149904.42739619201</v>
      </c>
      <c r="J13" s="6">
        <v>0.78539999999999999</v>
      </c>
      <c r="K13" s="4">
        <v>136497.80845225599</v>
      </c>
      <c r="L13" s="6">
        <v>0.67520000000000002</v>
      </c>
      <c r="M13" s="4">
        <v>126523.061679488</v>
      </c>
      <c r="O13" s="2" t="s">
        <v>17</v>
      </c>
      <c r="P13" s="6">
        <f t="shared" si="12"/>
        <v>1.5218</v>
      </c>
      <c r="Q13" s="6">
        <v>37.779699999999998</v>
      </c>
      <c r="R13" s="6">
        <f t="shared" si="0"/>
        <v>1.2493000000000001</v>
      </c>
      <c r="S13" s="6">
        <v>35.034100000000002</v>
      </c>
      <c r="T13" s="6">
        <f t="shared" si="1"/>
        <v>1.079</v>
      </c>
      <c r="U13" s="6">
        <v>33.450200000000002</v>
      </c>
      <c r="V13" s="6">
        <f t="shared" si="2"/>
        <v>0.78539999999999999</v>
      </c>
      <c r="W13" s="6">
        <v>30.458600000000001</v>
      </c>
      <c r="X13" s="6">
        <f t="shared" si="3"/>
        <v>0.67520000000000002</v>
      </c>
      <c r="Y13" s="6">
        <v>28.232800000000001</v>
      </c>
      <c r="AA13" s="2" t="s">
        <v>17</v>
      </c>
      <c r="AB13" s="6">
        <f t="shared" si="11"/>
        <v>-17.906426600078845</v>
      </c>
      <c r="AC13" s="6">
        <f t="shared" si="4"/>
        <v>-7.2673949237288582</v>
      </c>
      <c r="AD13" s="6">
        <f t="shared" si="5"/>
        <v>-29.097121829412544</v>
      </c>
      <c r="AE13" s="6">
        <f t="shared" si="6"/>
        <v>-11.459858071927499</v>
      </c>
      <c r="AF13" s="6">
        <f t="shared" si="7"/>
        <v>-48.390064397424112</v>
      </c>
      <c r="AG13" s="6">
        <f t="shared" si="8"/>
        <v>-19.378396334539445</v>
      </c>
      <c r="AH13" s="6">
        <f t="shared" si="9"/>
        <v>-55.631489026153247</v>
      </c>
      <c r="AI13" s="6">
        <f t="shared" si="10"/>
        <v>-25.269920089360141</v>
      </c>
    </row>
    <row r="14" spans="2:35" ht="27" thickBot="1" x14ac:dyDescent="0.35">
      <c r="B14" s="2" t="s">
        <v>18</v>
      </c>
      <c r="C14" s="28">
        <v>5083371.6109999996</v>
      </c>
      <c r="D14" s="6">
        <v>0.54779999999999995</v>
      </c>
      <c r="E14" s="4">
        <v>2095055.6923859289</v>
      </c>
      <c r="F14" s="6">
        <v>0.25359999999999999</v>
      </c>
      <c r="G14" s="4">
        <v>1656660.6412816779</v>
      </c>
      <c r="H14" s="6">
        <v>0.17469999999999999</v>
      </c>
      <c r="I14" s="4">
        <v>1443174.2837345109</v>
      </c>
      <c r="J14" s="6">
        <v>0.1018</v>
      </c>
      <c r="K14" s="4">
        <v>1264361.603945975</v>
      </c>
      <c r="L14" s="6">
        <v>7.7499999999999999E-2</v>
      </c>
      <c r="M14" s="4">
        <v>978320.28339500492</v>
      </c>
      <c r="O14" s="2" t="s">
        <v>18</v>
      </c>
      <c r="P14" s="6">
        <f t="shared" si="12"/>
        <v>0.54779999999999995</v>
      </c>
      <c r="Q14" s="6">
        <v>41.213900000000002</v>
      </c>
      <c r="R14" s="6">
        <f t="shared" si="0"/>
        <v>0.25359999999999999</v>
      </c>
      <c r="S14" s="6">
        <v>32.589799999999997</v>
      </c>
      <c r="T14" s="6">
        <f t="shared" si="1"/>
        <v>0.17469999999999999</v>
      </c>
      <c r="U14" s="6">
        <v>28.3901</v>
      </c>
      <c r="V14" s="6">
        <f t="shared" si="2"/>
        <v>0.1018</v>
      </c>
      <c r="W14" s="6">
        <v>24.872499999999999</v>
      </c>
      <c r="X14" s="6">
        <f t="shared" si="3"/>
        <v>7.7499999999999999E-2</v>
      </c>
      <c r="Y14" s="6">
        <v>19.2455</v>
      </c>
      <c r="AA14" s="2" t="s">
        <v>18</v>
      </c>
      <c r="AB14" s="6">
        <f t="shared" si="11"/>
        <v>-53.705732018985032</v>
      </c>
      <c r="AC14" s="6">
        <f t="shared" si="4"/>
        <v>-20.925221830498941</v>
      </c>
      <c r="AD14" s="6">
        <f t="shared" si="5"/>
        <v>-68.108798831690393</v>
      </c>
      <c r="AE14" s="6">
        <f t="shared" si="6"/>
        <v>-31.115230541152386</v>
      </c>
      <c r="AF14" s="6">
        <f t="shared" si="7"/>
        <v>-81.416575392479004</v>
      </c>
      <c r="AG14" s="6">
        <f t="shared" si="8"/>
        <v>-39.650215097333664</v>
      </c>
      <c r="AH14" s="6">
        <f t="shared" si="9"/>
        <v>-85.852500912741874</v>
      </c>
      <c r="AI14" s="6">
        <f t="shared" si="10"/>
        <v>-53.303375802823808</v>
      </c>
    </row>
    <row r="15" spans="2:35" ht="15" thickBot="1" x14ac:dyDescent="0.35">
      <c r="B15" s="2"/>
      <c r="C15" s="28"/>
      <c r="D15" s="6"/>
      <c r="E15" s="4"/>
      <c r="F15" s="6"/>
      <c r="G15" s="4"/>
      <c r="H15" s="6"/>
      <c r="I15" s="4"/>
      <c r="J15" s="6"/>
      <c r="K15" s="4"/>
      <c r="L15" s="6"/>
      <c r="M15" s="4"/>
      <c r="O15" s="2"/>
      <c r="P15" s="14"/>
      <c r="Q15" s="6"/>
      <c r="R15" s="14"/>
      <c r="S15" s="6"/>
      <c r="T15" s="14"/>
      <c r="U15" s="6"/>
      <c r="V15" s="14"/>
      <c r="W15" s="6"/>
      <c r="X15" s="14"/>
      <c r="Y15" s="6"/>
      <c r="AA15" s="2"/>
      <c r="AB15" s="6"/>
      <c r="AC15" s="6"/>
      <c r="AD15" s="6"/>
      <c r="AE15" s="6"/>
      <c r="AF15" s="6"/>
      <c r="AG15" s="6"/>
      <c r="AH15" s="6"/>
      <c r="AI15" s="6"/>
    </row>
    <row r="16" spans="2:35" s="8" customFormat="1" ht="15" thickBot="1" x14ac:dyDescent="0.3">
      <c r="B16" s="12" t="s">
        <v>70</v>
      </c>
      <c r="C16" s="29"/>
      <c r="D16" s="7"/>
      <c r="E16" s="5"/>
      <c r="F16" s="7"/>
      <c r="G16" s="5"/>
      <c r="H16" s="7"/>
      <c r="I16" s="5"/>
      <c r="J16" s="7"/>
      <c r="K16" s="5"/>
      <c r="L16" s="7"/>
      <c r="M16" s="5"/>
      <c r="O16" s="12" t="s">
        <v>70</v>
      </c>
      <c r="P16" s="9"/>
      <c r="Q16" s="9"/>
      <c r="R16" s="9"/>
      <c r="S16" s="9"/>
      <c r="T16" s="9"/>
      <c r="U16" s="9"/>
      <c r="V16" s="9"/>
      <c r="W16" s="9"/>
      <c r="X16" s="9"/>
      <c r="Y16" s="9"/>
      <c r="AA16" s="12" t="s">
        <v>70</v>
      </c>
      <c r="AB16" s="9"/>
      <c r="AC16" s="9"/>
      <c r="AD16" s="9"/>
      <c r="AE16" s="9"/>
      <c r="AF16" s="9"/>
      <c r="AG16" s="9"/>
      <c r="AH16" s="9"/>
      <c r="AI16" s="9"/>
    </row>
    <row r="17" spans="1:35" ht="15" thickBot="1" x14ac:dyDescent="0.35">
      <c r="A17"/>
      <c r="B17" s="2" t="s">
        <v>64</v>
      </c>
      <c r="C17" s="28">
        <v>1937.3045</v>
      </c>
      <c r="D17" s="6">
        <v>0.3125</v>
      </c>
      <c r="E17" s="4">
        <v>391.292888301</v>
      </c>
      <c r="F17" s="6">
        <v>0.21560000000000001</v>
      </c>
      <c r="G17" s="4">
        <v>220.44587905500001</v>
      </c>
      <c r="H17" s="6">
        <v>0.18260000000000001</v>
      </c>
      <c r="I17" s="4">
        <v>197.89371737049999</v>
      </c>
      <c r="J17" s="6">
        <v>0.1469</v>
      </c>
      <c r="K17" s="4">
        <v>189.472254709</v>
      </c>
      <c r="L17" s="6">
        <v>0.1211</v>
      </c>
      <c r="M17" s="4">
        <v>153.07030315399999</v>
      </c>
      <c r="O17" s="2" t="s">
        <v>64</v>
      </c>
      <c r="P17" s="6">
        <f t="shared" si="12"/>
        <v>0.3125</v>
      </c>
      <c r="Q17" s="6">
        <v>20.197800000000001</v>
      </c>
      <c r="R17" s="6">
        <f t="shared" si="0"/>
        <v>0.21560000000000001</v>
      </c>
      <c r="S17" s="6">
        <v>11.379</v>
      </c>
      <c r="T17" s="6">
        <f t="shared" si="1"/>
        <v>0.18260000000000001</v>
      </c>
      <c r="U17" s="6">
        <v>10.2149</v>
      </c>
      <c r="V17" s="6">
        <f t="shared" si="2"/>
        <v>0.1469</v>
      </c>
      <c r="W17" s="6">
        <v>9.7802000000000007</v>
      </c>
      <c r="X17" s="6">
        <f t="shared" si="3"/>
        <v>0.1211</v>
      </c>
      <c r="Y17" s="6">
        <v>7.9012000000000002</v>
      </c>
      <c r="AA17" s="2" t="s">
        <v>64</v>
      </c>
      <c r="AB17" s="6">
        <f>IFERROR((F17*100/$D17)-100, 0)</f>
        <v>-31.007999999999996</v>
      </c>
      <c r="AC17" s="6">
        <f>IFERROR((G17 * 100/$E17) - 100,0)</f>
        <v>-43.662181029617088</v>
      </c>
      <c r="AD17" s="6">
        <f>IFERROR((H17 * 100/$D17) - 100,0)</f>
        <v>-41.567999999999998</v>
      </c>
      <c r="AE17" s="6">
        <f>IFERROR((I17 * 100/$E17) - 100,0)</f>
        <v>-49.425680024557138</v>
      </c>
      <c r="AF17" s="6">
        <f>IFERROR((J17 * 100/$D17) - 100,0)</f>
        <v>-52.992000000000004</v>
      </c>
      <c r="AG17" s="6">
        <f>IFERROR((K17 * 100/$E17) - 100,0)</f>
        <v>-51.577894622186577</v>
      </c>
      <c r="AH17" s="6">
        <f>IFERROR((L17 * 100/$D17) - 100,0)</f>
        <v>-61.248000000000005</v>
      </c>
      <c r="AI17" s="6">
        <f>IFERROR((M17 * 100/$E17) - 100,0)</f>
        <v>-60.880888017506862</v>
      </c>
    </row>
    <row r="18" spans="1:35" ht="15" thickBot="1" x14ac:dyDescent="0.35">
      <c r="A18"/>
      <c r="B18" s="2" t="s">
        <v>65</v>
      </c>
      <c r="C18" s="28">
        <v>91.985299999999995</v>
      </c>
      <c r="D18" s="6">
        <v>0.1268</v>
      </c>
      <c r="E18" s="4">
        <v>13.5957032959</v>
      </c>
      <c r="F18" s="6">
        <v>2.2100000000000002E-2</v>
      </c>
      <c r="G18" s="4">
        <v>3.3939816140999999</v>
      </c>
      <c r="H18" s="6">
        <v>1.54E-2</v>
      </c>
      <c r="I18" s="4">
        <v>1.7845148200000001</v>
      </c>
      <c r="J18" s="6">
        <v>1.43E-2</v>
      </c>
      <c r="K18" s="4">
        <v>1.3261520700999998</v>
      </c>
      <c r="L18" s="6">
        <v>3.5999999999999999E-3</v>
      </c>
      <c r="M18" s="4">
        <v>0.5639618743</v>
      </c>
      <c r="O18" s="2" t="s">
        <v>65</v>
      </c>
      <c r="P18" s="6">
        <f t="shared" si="12"/>
        <v>0.1268</v>
      </c>
      <c r="Q18" s="6">
        <v>14.7803</v>
      </c>
      <c r="R18" s="6">
        <f t="shared" si="0"/>
        <v>2.2100000000000002E-2</v>
      </c>
      <c r="S18" s="6">
        <v>3.6897000000000002</v>
      </c>
      <c r="T18" s="6">
        <f t="shared" si="1"/>
        <v>1.54E-2</v>
      </c>
      <c r="U18" s="6">
        <v>1.94</v>
      </c>
      <c r="V18" s="6">
        <f t="shared" si="2"/>
        <v>1.43E-2</v>
      </c>
      <c r="W18" s="6">
        <v>1.4417</v>
      </c>
      <c r="X18" s="6">
        <f t="shared" si="3"/>
        <v>3.5999999999999999E-3</v>
      </c>
      <c r="Y18" s="6">
        <v>0.61309999999999998</v>
      </c>
      <c r="AA18" s="2" t="s">
        <v>65</v>
      </c>
      <c r="AB18" s="6">
        <f t="shared" ref="AB18:AB66" si="13">IFERROR((F18*100/$D18)-100, 0)</f>
        <v>-82.570977917981068</v>
      </c>
      <c r="AC18" s="6">
        <f t="shared" ref="AC18:AC66" si="14">IFERROR((G18 * 100/$E18) - 100,0)</f>
        <v>-75.036365973627056</v>
      </c>
      <c r="AD18" s="6">
        <f t="shared" ref="AD18:AD66" si="15">IFERROR((H18 * 100/$D18) - 100,0)</f>
        <v>-87.854889589905355</v>
      </c>
      <c r="AE18" s="6">
        <f t="shared" ref="AE18:AE66" si="16">IFERROR((I18 * 100/$E18) - 100,0)</f>
        <v>-86.874420681582919</v>
      </c>
      <c r="AF18" s="6">
        <f t="shared" ref="AF18:AF66" si="17">IFERROR((J18 * 100/$D18) - 100,0)</f>
        <v>-88.722397476340689</v>
      </c>
      <c r="AG18" s="6">
        <f t="shared" ref="AG18:AG66" si="18">IFERROR((K18 * 100/$E18) - 100,0)</f>
        <v>-90.245800152906241</v>
      </c>
      <c r="AH18" s="6">
        <f t="shared" ref="AH18:AH66" si="19">IFERROR((L18 * 100/$D18) - 100,0)</f>
        <v>-97.160883280757105</v>
      </c>
      <c r="AI18" s="6">
        <f t="shared" ref="AI18:AI66" si="20">IFERROR((M18 * 100/$E18) - 100,0)</f>
        <v>-95.851910989628081</v>
      </c>
    </row>
    <row r="19" spans="1:35" ht="15" thickBot="1" x14ac:dyDescent="0.35">
      <c r="A19"/>
      <c r="B19" s="2" t="s">
        <v>66</v>
      </c>
      <c r="C19" s="28">
        <v>366206.33929999999</v>
      </c>
      <c r="D19" s="6">
        <v>4.3099999999999999E-2</v>
      </c>
      <c r="E19" s="4">
        <v>5565.2377383420999</v>
      </c>
      <c r="F19" s="6">
        <v>8.6699999999999999E-2</v>
      </c>
      <c r="G19" s="4">
        <v>6811.8041173192996</v>
      </c>
      <c r="H19" s="6">
        <v>5.4899999999999997E-2</v>
      </c>
      <c r="I19" s="4">
        <v>5786.7925736185998</v>
      </c>
      <c r="J19" s="6">
        <v>3.32E-2</v>
      </c>
      <c r="K19" s="4">
        <v>4655.5811915209006</v>
      </c>
      <c r="L19" s="6">
        <v>2.8500000000000001E-2</v>
      </c>
      <c r="M19" s="4">
        <v>4164.4984905195997</v>
      </c>
      <c r="O19" s="2" t="s">
        <v>66</v>
      </c>
      <c r="P19" s="6">
        <f t="shared" si="12"/>
        <v>4.3099999999999999E-2</v>
      </c>
      <c r="Q19" s="6">
        <v>1.5197000000000001</v>
      </c>
      <c r="R19" s="6">
        <f t="shared" si="0"/>
        <v>8.6699999999999999E-2</v>
      </c>
      <c r="S19" s="6">
        <v>1.8601000000000001</v>
      </c>
      <c r="T19" s="6">
        <f t="shared" si="1"/>
        <v>5.4899999999999997E-2</v>
      </c>
      <c r="U19" s="6">
        <v>1.5802</v>
      </c>
      <c r="V19" s="6">
        <f t="shared" si="2"/>
        <v>3.32E-2</v>
      </c>
      <c r="W19" s="6">
        <v>1.2713000000000001</v>
      </c>
      <c r="X19" s="6">
        <f t="shared" si="3"/>
        <v>2.8500000000000001E-2</v>
      </c>
      <c r="Y19" s="6">
        <v>1.1372</v>
      </c>
      <c r="AA19" s="2" t="s">
        <v>66</v>
      </c>
      <c r="AB19" s="6">
        <f t="shared" si="13"/>
        <v>101.1600928074246</v>
      </c>
      <c r="AC19" s="6">
        <f t="shared" si="14"/>
        <v>22.399157728499048</v>
      </c>
      <c r="AD19" s="6">
        <f t="shared" si="15"/>
        <v>27.378190255220403</v>
      </c>
      <c r="AE19" s="6">
        <f t="shared" si="16"/>
        <v>3.9810488912285393</v>
      </c>
      <c r="AF19" s="6">
        <f t="shared" si="17"/>
        <v>-22.969837587006964</v>
      </c>
      <c r="AG19" s="6">
        <f t="shared" si="18"/>
        <v>-16.345331315391192</v>
      </c>
      <c r="AH19" s="6">
        <f t="shared" si="19"/>
        <v>-33.874709976798144</v>
      </c>
      <c r="AI19" s="6">
        <f t="shared" si="20"/>
        <v>-25.169441337106008</v>
      </c>
    </row>
    <row r="20" spans="1:35" ht="15" thickBot="1" x14ac:dyDescent="0.35">
      <c r="A20"/>
      <c r="B20" s="2" t="s">
        <v>19</v>
      </c>
      <c r="C20" s="28">
        <v>4277.5649000000003</v>
      </c>
      <c r="D20" s="6">
        <v>0.45660000000000001</v>
      </c>
      <c r="E20" s="4">
        <v>643.82057066390007</v>
      </c>
      <c r="F20" s="6">
        <v>0.19700000000000001</v>
      </c>
      <c r="G20" s="4">
        <v>351.86393354419999</v>
      </c>
      <c r="H20" s="6">
        <v>0.13800000000000001</v>
      </c>
      <c r="I20" s="4">
        <v>209.9300525973</v>
      </c>
      <c r="J20" s="6">
        <v>8.0600000000000005E-2</v>
      </c>
      <c r="K20" s="4">
        <v>121.92770990960001</v>
      </c>
      <c r="L20" s="6">
        <v>5.7500000000000002E-2</v>
      </c>
      <c r="M20" s="4">
        <v>91.766599799700018</v>
      </c>
      <c r="O20" s="2" t="s">
        <v>19</v>
      </c>
      <c r="P20" s="6">
        <f t="shared" si="12"/>
        <v>0.45660000000000001</v>
      </c>
      <c r="Q20" s="6">
        <v>15.0511</v>
      </c>
      <c r="R20" s="6">
        <f t="shared" si="0"/>
        <v>0.19700000000000001</v>
      </c>
      <c r="S20" s="6">
        <v>8.2257999999999996</v>
      </c>
      <c r="T20" s="6">
        <f t="shared" si="1"/>
        <v>0.13800000000000001</v>
      </c>
      <c r="U20" s="6">
        <v>4.9077000000000002</v>
      </c>
      <c r="V20" s="6">
        <f t="shared" si="2"/>
        <v>8.0600000000000005E-2</v>
      </c>
      <c r="W20" s="6">
        <v>2.8504</v>
      </c>
      <c r="X20" s="6">
        <f t="shared" si="3"/>
        <v>5.7500000000000002E-2</v>
      </c>
      <c r="Y20" s="6">
        <v>2.1453000000000002</v>
      </c>
      <c r="AA20" s="2" t="s">
        <v>19</v>
      </c>
      <c r="AB20" s="6">
        <f t="shared" si="13"/>
        <v>-56.855015330705214</v>
      </c>
      <c r="AC20" s="6">
        <f t="shared" si="14"/>
        <v>-45.347516128389294</v>
      </c>
      <c r="AD20" s="6">
        <f t="shared" si="15"/>
        <v>-69.776609724047304</v>
      </c>
      <c r="AE20" s="6">
        <f t="shared" si="16"/>
        <v>-67.393080904385727</v>
      </c>
      <c r="AF20" s="6">
        <f t="shared" si="17"/>
        <v>-82.347787998247924</v>
      </c>
      <c r="AG20" s="6">
        <f t="shared" si="18"/>
        <v>-81.061849300051165</v>
      </c>
      <c r="AH20" s="6">
        <f t="shared" si="19"/>
        <v>-87.406920718353049</v>
      </c>
      <c r="AI20" s="6">
        <f t="shared" si="20"/>
        <v>-85.746556730072882</v>
      </c>
    </row>
    <row r="21" spans="1:35" ht="15" thickBot="1" x14ac:dyDescent="0.35">
      <c r="A21"/>
      <c r="B21" s="2" t="s">
        <v>20</v>
      </c>
      <c r="C21" s="28">
        <v>962.81880000000001</v>
      </c>
      <c r="D21" s="6">
        <v>0.63160000000000005</v>
      </c>
      <c r="E21" s="4">
        <v>154.9666486788</v>
      </c>
      <c r="F21" s="6">
        <v>0.56059999999999999</v>
      </c>
      <c r="G21" s="4">
        <v>148.18647868920002</v>
      </c>
      <c r="H21" s="6">
        <v>0.39460000000000001</v>
      </c>
      <c r="I21" s="4">
        <v>119.18541361440001</v>
      </c>
      <c r="J21" s="6">
        <v>0.21010000000000001</v>
      </c>
      <c r="K21" s="4">
        <v>68.3225848668</v>
      </c>
      <c r="L21" s="6">
        <v>0.1724</v>
      </c>
      <c r="M21" s="4">
        <v>59.771791104000002</v>
      </c>
      <c r="O21" s="2" t="s">
        <v>20</v>
      </c>
      <c r="P21" s="6">
        <f t="shared" si="12"/>
        <v>0.63160000000000005</v>
      </c>
      <c r="Q21" s="6">
        <v>16.095099999999999</v>
      </c>
      <c r="R21" s="6">
        <f t="shared" si="0"/>
        <v>0.56059999999999999</v>
      </c>
      <c r="S21" s="6">
        <v>15.3909</v>
      </c>
      <c r="T21" s="6">
        <f t="shared" si="1"/>
        <v>0.39460000000000001</v>
      </c>
      <c r="U21" s="6">
        <v>12.3788</v>
      </c>
      <c r="V21" s="6">
        <f t="shared" si="2"/>
        <v>0.21010000000000001</v>
      </c>
      <c r="W21" s="6">
        <v>7.0960999999999999</v>
      </c>
      <c r="X21" s="6">
        <f t="shared" si="3"/>
        <v>0.1724</v>
      </c>
      <c r="Y21" s="6">
        <v>6.2080000000000002</v>
      </c>
      <c r="AA21" s="2" t="s">
        <v>20</v>
      </c>
      <c r="AB21" s="6">
        <f t="shared" si="13"/>
        <v>-11.241291956934774</v>
      </c>
      <c r="AC21" s="6">
        <f t="shared" si="14"/>
        <v>-4.3752446396729283</v>
      </c>
      <c r="AD21" s="6">
        <f t="shared" si="15"/>
        <v>-37.523749208359725</v>
      </c>
      <c r="AE21" s="6">
        <f t="shared" si="16"/>
        <v>-23.089635976166662</v>
      </c>
      <c r="AF21" s="6">
        <f t="shared" si="17"/>
        <v>-66.735275490816974</v>
      </c>
      <c r="AG21" s="6">
        <f t="shared" si="18"/>
        <v>-55.911426458984415</v>
      </c>
      <c r="AH21" s="6">
        <f t="shared" si="19"/>
        <v>-72.70424319189361</v>
      </c>
      <c r="AI21" s="6">
        <f t="shared" si="20"/>
        <v>-61.429254866387907</v>
      </c>
    </row>
    <row r="22" spans="1:35" ht="15" thickBot="1" x14ac:dyDescent="0.35">
      <c r="A22"/>
      <c r="B22" s="2" t="s">
        <v>21</v>
      </c>
      <c r="C22" s="28">
        <v>72.935599999999994</v>
      </c>
      <c r="D22" s="6">
        <v>4.9657</v>
      </c>
      <c r="E22" s="4">
        <v>55.629878445599999</v>
      </c>
      <c r="F22" s="6">
        <v>2.6793</v>
      </c>
      <c r="G22" s="4">
        <v>52.842790362799995</v>
      </c>
      <c r="H22" s="6">
        <v>2.2749999999999999</v>
      </c>
      <c r="I22" s="4">
        <v>51.965010416799998</v>
      </c>
      <c r="J22" s="6">
        <v>2.0337000000000001</v>
      </c>
      <c r="K22" s="4">
        <v>50.720729080799991</v>
      </c>
      <c r="L22" s="6">
        <v>1.5615000000000001</v>
      </c>
      <c r="M22" s="4">
        <v>44.618207428799998</v>
      </c>
      <c r="O22" s="2" t="s">
        <v>21</v>
      </c>
      <c r="P22" s="6">
        <f t="shared" si="12"/>
        <v>4.9657</v>
      </c>
      <c r="Q22" s="6">
        <v>76.272599999999997</v>
      </c>
      <c r="R22" s="6">
        <f t="shared" si="0"/>
        <v>2.6793</v>
      </c>
      <c r="S22" s="6">
        <v>72.451300000000003</v>
      </c>
      <c r="T22" s="6">
        <f>H22</f>
        <v>2.2749999999999999</v>
      </c>
      <c r="U22" s="6">
        <v>71.247799999999998</v>
      </c>
      <c r="V22" s="6">
        <f t="shared" si="2"/>
        <v>2.0337000000000001</v>
      </c>
      <c r="W22" s="6">
        <v>69.541799999999995</v>
      </c>
      <c r="X22" s="6">
        <f t="shared" si="3"/>
        <v>1.5615000000000001</v>
      </c>
      <c r="Y22" s="6">
        <v>61.174799999999998</v>
      </c>
      <c r="AA22" s="2" t="s">
        <v>21</v>
      </c>
      <c r="AB22" s="6">
        <f t="shared" si="13"/>
        <v>-46.043860885675734</v>
      </c>
      <c r="AC22" s="6">
        <f t="shared" si="14"/>
        <v>-5.0100560358503685</v>
      </c>
      <c r="AD22" s="6">
        <f t="shared" si="15"/>
        <v>-54.185713998026465</v>
      </c>
      <c r="AE22" s="6">
        <f t="shared" si="16"/>
        <v>-6.5879490144560435</v>
      </c>
      <c r="AF22" s="6">
        <f t="shared" si="17"/>
        <v>-59.045049036389635</v>
      </c>
      <c r="AG22" s="6">
        <f t="shared" si="18"/>
        <v>-8.8246631162435847</v>
      </c>
      <c r="AH22" s="6">
        <f t="shared" si="19"/>
        <v>-68.554282377106958</v>
      </c>
      <c r="AI22" s="6">
        <f t="shared" si="20"/>
        <v>-19.794526474776006</v>
      </c>
    </row>
    <row r="23" spans="1:35" ht="15" thickBot="1" x14ac:dyDescent="0.35">
      <c r="A23"/>
      <c r="B23" s="2" t="s">
        <v>22</v>
      </c>
      <c r="C23" s="28">
        <v>61.750999999999998</v>
      </c>
      <c r="D23" s="6">
        <v>6.1242999999999999</v>
      </c>
      <c r="E23" s="4">
        <v>60.055132286999999</v>
      </c>
      <c r="F23" s="6">
        <v>3.9748000000000001</v>
      </c>
      <c r="G23" s="4">
        <v>58.446209981999999</v>
      </c>
      <c r="H23" s="6">
        <v>3.4295</v>
      </c>
      <c r="I23" s="4">
        <v>55.491177627999996</v>
      </c>
      <c r="J23" s="6">
        <v>3.3288000000000002</v>
      </c>
      <c r="K23" s="4">
        <v>55.173468732999993</v>
      </c>
      <c r="L23" s="6">
        <v>2.4922</v>
      </c>
      <c r="M23" s="4">
        <v>48.722465265000004</v>
      </c>
      <c r="O23" s="2" t="s">
        <v>22</v>
      </c>
      <c r="P23" s="6">
        <f t="shared" si="12"/>
        <v>6.1242999999999999</v>
      </c>
      <c r="Q23" s="6">
        <v>97.253699999999995</v>
      </c>
      <c r="R23" s="6">
        <f t="shared" si="0"/>
        <v>3.9748000000000001</v>
      </c>
      <c r="S23" s="6">
        <v>94.648200000000003</v>
      </c>
      <c r="T23" s="6">
        <f t="shared" si="1"/>
        <v>3.4295</v>
      </c>
      <c r="U23" s="6">
        <v>89.862799999999993</v>
      </c>
      <c r="V23" s="6">
        <f t="shared" si="2"/>
        <v>3.3288000000000002</v>
      </c>
      <c r="W23" s="6">
        <v>89.348299999999995</v>
      </c>
      <c r="X23" s="6">
        <f t="shared" si="3"/>
        <v>2.4922</v>
      </c>
      <c r="Y23" s="6">
        <v>78.901499999999999</v>
      </c>
      <c r="AA23" s="2" t="s">
        <v>22</v>
      </c>
      <c r="AB23" s="6">
        <f t="shared" si="13"/>
        <v>-35.097888738304775</v>
      </c>
      <c r="AC23" s="6">
        <f t="shared" si="14"/>
        <v>-2.6790754490574642</v>
      </c>
      <c r="AD23" s="6">
        <f t="shared" si="15"/>
        <v>-44.00176346684519</v>
      </c>
      <c r="AE23" s="6">
        <f t="shared" si="16"/>
        <v>-7.5996080354783544</v>
      </c>
      <c r="AF23" s="6">
        <f t="shared" si="17"/>
        <v>-45.646033016018158</v>
      </c>
      <c r="AG23" s="6">
        <f t="shared" si="18"/>
        <v>-8.1286367510953426</v>
      </c>
      <c r="AH23" s="6">
        <f t="shared" si="19"/>
        <v>-59.306369707558417</v>
      </c>
      <c r="AI23" s="6">
        <f t="shared" si="20"/>
        <v>-18.870438862480299</v>
      </c>
    </row>
    <row r="24" spans="1:35" s="10" customFormat="1" ht="15" thickBot="1" x14ac:dyDescent="0.35">
      <c r="A24"/>
      <c r="B24" s="2" t="s">
        <v>67</v>
      </c>
      <c r="C24" s="28">
        <v>8.8765000000000001</v>
      </c>
      <c r="D24" s="6">
        <v>0</v>
      </c>
      <c r="E24" s="4">
        <v>0</v>
      </c>
      <c r="F24" s="6">
        <v>0</v>
      </c>
      <c r="G24" s="4">
        <v>0</v>
      </c>
      <c r="H24" s="6">
        <v>0</v>
      </c>
      <c r="I24" s="4">
        <v>0</v>
      </c>
      <c r="J24" s="6">
        <v>0</v>
      </c>
      <c r="K24" s="4">
        <v>0</v>
      </c>
      <c r="L24" s="6">
        <v>0</v>
      </c>
      <c r="M24" s="4">
        <v>0</v>
      </c>
      <c r="O24" s="2" t="s">
        <v>67</v>
      </c>
      <c r="P24" s="6">
        <f t="shared" si="12"/>
        <v>0</v>
      </c>
      <c r="Q24" s="6">
        <v>0</v>
      </c>
      <c r="R24" s="6">
        <f t="shared" si="0"/>
        <v>0</v>
      </c>
      <c r="S24" s="6">
        <v>0</v>
      </c>
      <c r="T24" s="6">
        <f t="shared" si="1"/>
        <v>0</v>
      </c>
      <c r="U24" s="6">
        <v>0</v>
      </c>
      <c r="V24" s="6">
        <f t="shared" si="2"/>
        <v>0</v>
      </c>
      <c r="W24" s="6">
        <v>0</v>
      </c>
      <c r="X24" s="6">
        <f t="shared" si="3"/>
        <v>0</v>
      </c>
      <c r="Y24" s="6">
        <v>0</v>
      </c>
      <c r="AA24" s="2" t="s">
        <v>67</v>
      </c>
      <c r="AB24" s="6">
        <f t="shared" si="13"/>
        <v>0</v>
      </c>
      <c r="AC24" s="6">
        <f t="shared" si="14"/>
        <v>0</v>
      </c>
      <c r="AD24" s="6">
        <f t="shared" si="15"/>
        <v>0</v>
      </c>
      <c r="AE24" s="6">
        <f t="shared" si="16"/>
        <v>0</v>
      </c>
      <c r="AF24" s="6">
        <f t="shared" si="17"/>
        <v>0</v>
      </c>
      <c r="AG24" s="6">
        <f t="shared" si="18"/>
        <v>0</v>
      </c>
      <c r="AH24" s="6">
        <f t="shared" si="19"/>
        <v>0</v>
      </c>
      <c r="AI24" s="6">
        <f t="shared" si="20"/>
        <v>0</v>
      </c>
    </row>
    <row r="25" spans="1:35" ht="15" thickBot="1" x14ac:dyDescent="0.35">
      <c r="A25"/>
      <c r="B25" s="2" t="s">
        <v>23</v>
      </c>
      <c r="C25" s="28">
        <v>113541.15330000001</v>
      </c>
      <c r="D25" s="6">
        <v>0.52849999999999997</v>
      </c>
      <c r="E25" s="4">
        <v>20872.497293445598</v>
      </c>
      <c r="F25" s="6">
        <v>0.28149999999999997</v>
      </c>
      <c r="G25" s="4">
        <v>13023.056742356701</v>
      </c>
      <c r="H25" s="6">
        <v>0.23860000000000001</v>
      </c>
      <c r="I25" s="4">
        <v>11234.329413268501</v>
      </c>
      <c r="J25" s="6">
        <v>0.22889999999999999</v>
      </c>
      <c r="K25" s="4">
        <v>10799.0126315163</v>
      </c>
      <c r="L25" s="6">
        <v>0.14169999999999999</v>
      </c>
      <c r="M25" s="4">
        <v>7868.7425471499</v>
      </c>
      <c r="O25" s="2" t="s">
        <v>23</v>
      </c>
      <c r="P25" s="6">
        <f t="shared" si="12"/>
        <v>0.52849999999999997</v>
      </c>
      <c r="Q25" s="6">
        <v>18.383199999999999</v>
      </c>
      <c r="R25" s="6">
        <f t="shared" si="0"/>
        <v>0.28149999999999997</v>
      </c>
      <c r="S25" s="6">
        <v>11.469900000000001</v>
      </c>
      <c r="T25" s="6">
        <f t="shared" si="1"/>
        <v>0.23860000000000001</v>
      </c>
      <c r="U25" s="6">
        <v>9.8945000000000007</v>
      </c>
      <c r="V25" s="6">
        <f t="shared" si="2"/>
        <v>0.22889999999999999</v>
      </c>
      <c r="W25" s="6">
        <v>9.5111000000000008</v>
      </c>
      <c r="X25" s="6">
        <f t="shared" si="3"/>
        <v>0.14169999999999999</v>
      </c>
      <c r="Y25" s="6">
        <v>6.9302999999999999</v>
      </c>
      <c r="AA25" s="2" t="s">
        <v>23</v>
      </c>
      <c r="AB25" s="6">
        <f t="shared" si="13"/>
        <v>-46.736045411542101</v>
      </c>
      <c r="AC25" s="6">
        <f t="shared" si="14"/>
        <v>-37.60661908699246</v>
      </c>
      <c r="AD25" s="6">
        <f t="shared" si="15"/>
        <v>-54.853358561967831</v>
      </c>
      <c r="AE25" s="6">
        <f t="shared" si="16"/>
        <v>-46.176400191479168</v>
      </c>
      <c r="AF25" s="6">
        <f t="shared" si="17"/>
        <v>-56.688741721854299</v>
      </c>
      <c r="AG25" s="6">
        <f t="shared" si="18"/>
        <v>-48.262000087035979</v>
      </c>
      <c r="AH25" s="6">
        <f t="shared" si="19"/>
        <v>-73.188268684957421</v>
      </c>
      <c r="AI25" s="6">
        <f t="shared" si="20"/>
        <v>-62.300905174289561</v>
      </c>
    </row>
    <row r="26" spans="1:35" ht="15" thickBot="1" x14ac:dyDescent="0.35">
      <c r="A26"/>
      <c r="B26" s="2" t="s">
        <v>24</v>
      </c>
      <c r="C26" s="28">
        <v>249362.03479999999</v>
      </c>
      <c r="D26" s="6">
        <v>5.2699999999999997E-2</v>
      </c>
      <c r="E26" s="4">
        <v>10710.099394660001</v>
      </c>
      <c r="F26" s="6">
        <v>4.4400000000000002E-2</v>
      </c>
      <c r="G26" s="4">
        <v>11411.804160587199</v>
      </c>
      <c r="H26" s="6">
        <v>2.7099999999999999E-2</v>
      </c>
      <c r="I26" s="4">
        <v>8907.4612450907989</v>
      </c>
      <c r="J26" s="6">
        <v>1.78E-2</v>
      </c>
      <c r="K26" s="4">
        <v>8211.242443929199</v>
      </c>
      <c r="L26" s="6">
        <v>9.5999999999999992E-3</v>
      </c>
      <c r="M26" s="4">
        <v>5792.4307063692004</v>
      </c>
      <c r="O26" s="2" t="s">
        <v>24</v>
      </c>
      <c r="P26" s="6">
        <f t="shared" si="12"/>
        <v>5.2699999999999997E-2</v>
      </c>
      <c r="Q26" s="6">
        <v>4.2949999999999999</v>
      </c>
      <c r="R26" s="6">
        <f t="shared" si="0"/>
        <v>4.4400000000000002E-2</v>
      </c>
      <c r="S26" s="6">
        <v>4.5763999999999996</v>
      </c>
      <c r="T26" s="6">
        <f t="shared" si="1"/>
        <v>2.7099999999999999E-2</v>
      </c>
      <c r="U26" s="6">
        <v>3.5720999999999998</v>
      </c>
      <c r="V26" s="6">
        <f t="shared" si="2"/>
        <v>1.78E-2</v>
      </c>
      <c r="W26" s="6">
        <v>3.2928999999999999</v>
      </c>
      <c r="X26" s="6">
        <f t="shared" si="3"/>
        <v>9.5999999999999992E-3</v>
      </c>
      <c r="Y26" s="6">
        <v>2.3229000000000002</v>
      </c>
      <c r="AA26" s="2" t="s">
        <v>24</v>
      </c>
      <c r="AB26" s="6">
        <f t="shared" si="13"/>
        <v>-15.749525616698278</v>
      </c>
      <c r="AC26" s="6">
        <f t="shared" si="14"/>
        <v>6.5518044237485213</v>
      </c>
      <c r="AD26" s="6">
        <f t="shared" si="15"/>
        <v>-48.576850094876654</v>
      </c>
      <c r="AE26" s="6">
        <f t="shared" si="16"/>
        <v>-16.831199068684541</v>
      </c>
      <c r="AF26" s="6">
        <f t="shared" si="17"/>
        <v>-66.223908918406067</v>
      </c>
      <c r="AG26" s="6">
        <f t="shared" si="18"/>
        <v>-23.33178114086148</v>
      </c>
      <c r="AH26" s="6">
        <f t="shared" si="19"/>
        <v>-81.78368121442125</v>
      </c>
      <c r="AI26" s="6">
        <f t="shared" si="20"/>
        <v>-45.91618160651921</v>
      </c>
    </row>
    <row r="27" spans="1:35" ht="15" thickBot="1" x14ac:dyDescent="0.35">
      <c r="A27"/>
      <c r="B27" s="2" t="s">
        <v>25</v>
      </c>
      <c r="C27" s="28">
        <v>75530.242400000003</v>
      </c>
      <c r="D27" s="6">
        <v>1.18E-2</v>
      </c>
      <c r="E27" s="4">
        <v>2101.7800552648005</v>
      </c>
      <c r="F27" s="6">
        <v>4.3E-3</v>
      </c>
      <c r="G27" s="4">
        <v>280.29272954639998</v>
      </c>
      <c r="H27" s="6">
        <v>2E-3</v>
      </c>
      <c r="I27" s="4">
        <v>208.23687829680003</v>
      </c>
      <c r="J27" s="6">
        <v>1.8E-3</v>
      </c>
      <c r="K27" s="4">
        <v>193.88613224080001</v>
      </c>
      <c r="L27" s="6">
        <v>4.0000000000000002E-4</v>
      </c>
      <c r="M27" s="4">
        <v>78.173800884000002</v>
      </c>
      <c r="O27" s="2" t="s">
        <v>25</v>
      </c>
      <c r="P27" s="6">
        <f t="shared" si="12"/>
        <v>1.18E-2</v>
      </c>
      <c r="Q27" s="6">
        <v>2.7827000000000002</v>
      </c>
      <c r="R27" s="6">
        <f t="shared" si="0"/>
        <v>4.3E-3</v>
      </c>
      <c r="S27" s="6">
        <v>0.37109999999999999</v>
      </c>
      <c r="T27" s="6">
        <f t="shared" si="1"/>
        <v>2E-3</v>
      </c>
      <c r="U27" s="6">
        <v>0.2757</v>
      </c>
      <c r="V27" s="6">
        <f t="shared" si="2"/>
        <v>1.8E-3</v>
      </c>
      <c r="W27" s="6">
        <v>0.25669999999999998</v>
      </c>
      <c r="X27" s="6">
        <f t="shared" si="3"/>
        <v>4.0000000000000002E-4</v>
      </c>
      <c r="Y27" s="6">
        <v>0.10349999999999999</v>
      </c>
      <c r="AA27" s="2" t="s">
        <v>25</v>
      </c>
      <c r="AB27" s="6">
        <f t="shared" si="13"/>
        <v>-63.559322033898304</v>
      </c>
      <c r="AC27" s="6">
        <f t="shared" si="14"/>
        <v>-86.66403133647178</v>
      </c>
      <c r="AD27" s="6">
        <f t="shared" si="15"/>
        <v>-83.050847457627114</v>
      </c>
      <c r="AE27" s="6">
        <f t="shared" si="16"/>
        <v>-90.092356344557444</v>
      </c>
      <c r="AF27" s="6">
        <f t="shared" si="17"/>
        <v>-84.745762711864401</v>
      </c>
      <c r="AG27" s="6">
        <f t="shared" si="18"/>
        <v>-90.775146440507427</v>
      </c>
      <c r="AH27" s="6">
        <f t="shared" si="19"/>
        <v>-96.610169491525426</v>
      </c>
      <c r="AI27" s="6">
        <f t="shared" si="20"/>
        <v>-96.280590793114598</v>
      </c>
    </row>
    <row r="28" spans="1:35" ht="15" thickBot="1" x14ac:dyDescent="0.35">
      <c r="A28"/>
      <c r="B28" s="2" t="s">
        <v>26</v>
      </c>
      <c r="C28" s="28">
        <v>2874.6007</v>
      </c>
      <c r="D28" s="6">
        <v>3.0499999999999999E-2</v>
      </c>
      <c r="E28" s="4">
        <v>20.622385421800001</v>
      </c>
      <c r="F28" s="6">
        <v>1.01E-2</v>
      </c>
      <c r="G28" s="4">
        <v>5.2059018677000006</v>
      </c>
      <c r="H28" s="6">
        <v>6.8999999999999999E-3</v>
      </c>
      <c r="I28" s="4">
        <v>3.6421190869000002</v>
      </c>
      <c r="J28" s="6">
        <v>6.3E-3</v>
      </c>
      <c r="K28" s="4">
        <v>3.4725176456000004</v>
      </c>
      <c r="L28" s="6">
        <v>2.2000000000000001E-3</v>
      </c>
      <c r="M28" s="4">
        <v>2.5698930257999995</v>
      </c>
      <c r="O28" s="2" t="s">
        <v>26</v>
      </c>
      <c r="P28" s="6">
        <f t="shared" si="12"/>
        <v>3.0499999999999999E-2</v>
      </c>
      <c r="Q28" s="6">
        <v>0.71740000000000004</v>
      </c>
      <c r="R28" s="6">
        <f t="shared" si="0"/>
        <v>1.01E-2</v>
      </c>
      <c r="S28" s="6">
        <v>0.18110000000000001</v>
      </c>
      <c r="T28" s="6">
        <f t="shared" si="1"/>
        <v>6.8999999999999999E-3</v>
      </c>
      <c r="U28" s="6">
        <v>0.12670000000000001</v>
      </c>
      <c r="V28" s="6">
        <f t="shared" si="2"/>
        <v>6.3E-3</v>
      </c>
      <c r="W28" s="6">
        <v>0.1208</v>
      </c>
      <c r="X28" s="6">
        <f t="shared" si="3"/>
        <v>2.2000000000000001E-3</v>
      </c>
      <c r="Y28" s="6">
        <v>8.9399999999999993E-2</v>
      </c>
      <c r="AA28" s="2" t="s">
        <v>26</v>
      </c>
      <c r="AB28" s="6">
        <f t="shared" si="13"/>
        <v>-66.885245901639337</v>
      </c>
      <c r="AC28" s="6">
        <f t="shared" si="14"/>
        <v>-74.756063562865904</v>
      </c>
      <c r="AD28" s="6">
        <f t="shared" si="15"/>
        <v>-77.377049180327873</v>
      </c>
      <c r="AE28" s="6">
        <f t="shared" si="16"/>
        <v>-82.339001951491497</v>
      </c>
      <c r="AF28" s="6">
        <f t="shared" si="17"/>
        <v>-79.344262295081961</v>
      </c>
      <c r="AG28" s="6">
        <f t="shared" si="18"/>
        <v>-83.161416225257881</v>
      </c>
      <c r="AH28" s="6">
        <f t="shared" si="19"/>
        <v>-92.786885245901644</v>
      </c>
      <c r="AI28" s="6">
        <f t="shared" si="20"/>
        <v>-87.538332868692507</v>
      </c>
    </row>
    <row r="29" spans="1:35" ht="15" thickBot="1" x14ac:dyDescent="0.35">
      <c r="A29"/>
      <c r="B29" s="2" t="s">
        <v>27</v>
      </c>
      <c r="C29" s="28">
        <v>4064.0592999999999</v>
      </c>
      <c r="D29" s="6">
        <v>0</v>
      </c>
      <c r="E29" s="4">
        <v>9.7537423199999987E-2</v>
      </c>
      <c r="F29" s="6">
        <v>0</v>
      </c>
      <c r="G29" s="4">
        <v>0</v>
      </c>
      <c r="H29" s="6">
        <v>0</v>
      </c>
      <c r="I29" s="4">
        <v>0</v>
      </c>
      <c r="J29" s="6">
        <v>0</v>
      </c>
      <c r="K29" s="4">
        <v>0</v>
      </c>
      <c r="L29" s="6">
        <v>0</v>
      </c>
      <c r="M29" s="4">
        <v>0</v>
      </c>
      <c r="O29" s="2" t="s">
        <v>27</v>
      </c>
      <c r="P29" s="6">
        <f t="shared" si="12"/>
        <v>0</v>
      </c>
      <c r="Q29" s="6">
        <v>2.3999999999999998E-3</v>
      </c>
      <c r="R29" s="6">
        <f t="shared" si="0"/>
        <v>0</v>
      </c>
      <c r="S29" s="6">
        <v>0</v>
      </c>
      <c r="T29" s="6">
        <f t="shared" si="1"/>
        <v>0</v>
      </c>
      <c r="U29" s="6">
        <v>0</v>
      </c>
      <c r="V29" s="6">
        <f t="shared" si="2"/>
        <v>0</v>
      </c>
      <c r="W29" s="6">
        <v>0</v>
      </c>
      <c r="X29" s="6">
        <f t="shared" si="3"/>
        <v>0</v>
      </c>
      <c r="Y29" s="6">
        <v>0</v>
      </c>
      <c r="AA29" s="2" t="s">
        <v>27</v>
      </c>
      <c r="AB29" s="6">
        <f t="shared" si="13"/>
        <v>0</v>
      </c>
      <c r="AC29" s="6">
        <f t="shared" si="14"/>
        <v>-100</v>
      </c>
      <c r="AD29" s="6">
        <f t="shared" si="15"/>
        <v>0</v>
      </c>
      <c r="AE29" s="6">
        <f t="shared" si="16"/>
        <v>-100</v>
      </c>
      <c r="AF29" s="6">
        <f t="shared" si="17"/>
        <v>0</v>
      </c>
      <c r="AG29" s="6">
        <f t="shared" si="18"/>
        <v>-100</v>
      </c>
      <c r="AH29" s="6">
        <f t="shared" si="19"/>
        <v>0</v>
      </c>
      <c r="AI29" s="6">
        <f t="shared" si="20"/>
        <v>-100</v>
      </c>
    </row>
    <row r="30" spans="1:35" ht="15" thickBot="1" x14ac:dyDescent="0.35">
      <c r="A30"/>
      <c r="B30" s="2" t="s">
        <v>28</v>
      </c>
      <c r="C30" s="28">
        <v>8712.6851000000006</v>
      </c>
      <c r="D30" s="6">
        <v>0</v>
      </c>
      <c r="E30" s="4">
        <v>0</v>
      </c>
      <c r="F30" s="6">
        <v>0</v>
      </c>
      <c r="G30" s="4">
        <v>0</v>
      </c>
      <c r="H30" s="6">
        <v>0</v>
      </c>
      <c r="I30" s="4">
        <v>0</v>
      </c>
      <c r="J30" s="6">
        <v>0</v>
      </c>
      <c r="K30" s="4">
        <v>0</v>
      </c>
      <c r="L30" s="6">
        <v>0</v>
      </c>
      <c r="M30" s="4">
        <v>0</v>
      </c>
      <c r="O30" s="2" t="s">
        <v>28</v>
      </c>
      <c r="P30" s="6">
        <f t="shared" si="12"/>
        <v>0</v>
      </c>
      <c r="Q30" s="6">
        <v>0</v>
      </c>
      <c r="R30" s="6">
        <f t="shared" si="0"/>
        <v>0</v>
      </c>
      <c r="S30" s="6">
        <v>0</v>
      </c>
      <c r="T30" s="6">
        <f t="shared" si="1"/>
        <v>0</v>
      </c>
      <c r="U30" s="6">
        <v>0</v>
      </c>
      <c r="V30" s="6">
        <f t="shared" si="2"/>
        <v>0</v>
      </c>
      <c r="W30" s="6">
        <v>0</v>
      </c>
      <c r="X30" s="6">
        <f t="shared" si="3"/>
        <v>0</v>
      </c>
      <c r="Y30" s="6">
        <v>0</v>
      </c>
      <c r="AA30" s="2" t="s">
        <v>28</v>
      </c>
      <c r="AB30" s="6">
        <f t="shared" si="13"/>
        <v>0</v>
      </c>
      <c r="AC30" s="6">
        <f t="shared" si="14"/>
        <v>0</v>
      </c>
      <c r="AD30" s="6">
        <f t="shared" si="15"/>
        <v>0</v>
      </c>
      <c r="AE30" s="6">
        <f t="shared" si="16"/>
        <v>0</v>
      </c>
      <c r="AF30" s="6">
        <f t="shared" si="17"/>
        <v>0</v>
      </c>
      <c r="AG30" s="6">
        <f t="shared" si="18"/>
        <v>0</v>
      </c>
      <c r="AH30" s="6">
        <f t="shared" si="19"/>
        <v>0</v>
      </c>
      <c r="AI30" s="6">
        <f t="shared" si="20"/>
        <v>0</v>
      </c>
    </row>
    <row r="31" spans="1:35" ht="15" thickBot="1" x14ac:dyDescent="0.35">
      <c r="A31"/>
      <c r="B31" s="2" t="s">
        <v>29</v>
      </c>
      <c r="C31" s="28">
        <v>9781.6142</v>
      </c>
      <c r="D31" s="6">
        <v>1E-4</v>
      </c>
      <c r="E31" s="4">
        <v>0.38148295380000002</v>
      </c>
      <c r="F31" s="6">
        <v>0</v>
      </c>
      <c r="G31" s="4">
        <v>0.11737937039999999</v>
      </c>
      <c r="H31" s="6">
        <v>0</v>
      </c>
      <c r="I31" s="4">
        <v>8.8034527799999984E-2</v>
      </c>
      <c r="J31" s="6">
        <v>0</v>
      </c>
      <c r="K31" s="4">
        <v>0</v>
      </c>
      <c r="L31" s="6">
        <v>0</v>
      </c>
      <c r="M31" s="4">
        <v>0</v>
      </c>
      <c r="O31" s="2" t="s">
        <v>29</v>
      </c>
      <c r="P31" s="6">
        <f t="shared" si="12"/>
        <v>1E-4</v>
      </c>
      <c r="Q31" s="6">
        <v>3.8999999999999998E-3</v>
      </c>
      <c r="R31" s="6">
        <f t="shared" si="0"/>
        <v>0</v>
      </c>
      <c r="S31" s="6">
        <v>1.1999999999999999E-3</v>
      </c>
      <c r="T31" s="6">
        <f t="shared" si="1"/>
        <v>0</v>
      </c>
      <c r="U31" s="6">
        <v>8.9999999999999998E-4</v>
      </c>
      <c r="V31" s="6">
        <f t="shared" si="2"/>
        <v>0</v>
      </c>
      <c r="W31" s="6">
        <v>0</v>
      </c>
      <c r="X31" s="6">
        <f t="shared" si="3"/>
        <v>0</v>
      </c>
      <c r="Y31" s="6">
        <v>0</v>
      </c>
      <c r="AA31" s="2" t="s">
        <v>29</v>
      </c>
      <c r="AB31" s="6">
        <f t="shared" si="13"/>
        <v>-100</v>
      </c>
      <c r="AC31" s="6">
        <f t="shared" si="14"/>
        <v>-69.230769230769241</v>
      </c>
      <c r="AD31" s="6">
        <f t="shared" si="15"/>
        <v>-100</v>
      </c>
      <c r="AE31" s="6">
        <f t="shared" si="16"/>
        <v>-76.923076923076934</v>
      </c>
      <c r="AF31" s="6">
        <f t="shared" si="17"/>
        <v>-100</v>
      </c>
      <c r="AG31" s="6">
        <f t="shared" si="18"/>
        <v>-100</v>
      </c>
      <c r="AH31" s="6">
        <f t="shared" si="19"/>
        <v>-100</v>
      </c>
      <c r="AI31" s="6">
        <f t="shared" si="20"/>
        <v>-100</v>
      </c>
    </row>
    <row r="32" spans="1:35" s="10" customFormat="1" ht="15" thickBot="1" x14ac:dyDescent="0.35">
      <c r="A32"/>
      <c r="B32" s="2" t="s">
        <v>30</v>
      </c>
      <c r="C32" s="28">
        <v>55930.927199999998</v>
      </c>
      <c r="D32" s="6">
        <v>0.37169999999999997</v>
      </c>
      <c r="E32" s="4">
        <v>8618.2287794663989</v>
      </c>
      <c r="F32" s="6">
        <v>0.26860000000000001</v>
      </c>
      <c r="G32" s="4">
        <v>5626.6512763199999</v>
      </c>
      <c r="H32" s="6">
        <v>0.1865</v>
      </c>
      <c r="I32" s="4">
        <v>4153.2069301632</v>
      </c>
      <c r="J32" s="6">
        <v>0.1009</v>
      </c>
      <c r="K32" s="4">
        <v>2394.1233387960001</v>
      </c>
      <c r="L32" s="6">
        <v>8.2400000000000001E-2</v>
      </c>
      <c r="M32" s="4">
        <v>1979.5633063895998</v>
      </c>
      <c r="O32" s="2" t="s">
        <v>30</v>
      </c>
      <c r="P32" s="6">
        <f t="shared" si="12"/>
        <v>0.37169999999999997</v>
      </c>
      <c r="Q32" s="6">
        <v>15.4087</v>
      </c>
      <c r="R32" s="6">
        <f t="shared" si="0"/>
        <v>0.26860000000000001</v>
      </c>
      <c r="S32" s="6">
        <v>10.06</v>
      </c>
      <c r="T32" s="6">
        <f t="shared" si="1"/>
        <v>0.1865</v>
      </c>
      <c r="U32" s="6">
        <v>7.4256000000000002</v>
      </c>
      <c r="V32" s="6">
        <f t="shared" si="2"/>
        <v>0.1009</v>
      </c>
      <c r="W32" s="6">
        <v>4.2805</v>
      </c>
      <c r="X32" s="6">
        <f t="shared" si="3"/>
        <v>8.2400000000000001E-2</v>
      </c>
      <c r="Y32" s="6">
        <v>3.5392999999999999</v>
      </c>
      <c r="AA32" s="2" t="s">
        <v>30</v>
      </c>
      <c r="AB32" s="6">
        <f t="shared" si="13"/>
        <v>-27.737422652676884</v>
      </c>
      <c r="AC32" s="6">
        <f t="shared" si="14"/>
        <v>-34.712208038316007</v>
      </c>
      <c r="AD32" s="6">
        <f t="shared" si="15"/>
        <v>-49.825127791229484</v>
      </c>
      <c r="AE32" s="6">
        <f t="shared" si="16"/>
        <v>-51.809042943272303</v>
      </c>
      <c r="AF32" s="6">
        <f t="shared" si="17"/>
        <v>-72.854452515469461</v>
      </c>
      <c r="AG32" s="6">
        <f t="shared" si="18"/>
        <v>-72.220239215508116</v>
      </c>
      <c r="AH32" s="6">
        <f t="shared" si="19"/>
        <v>-77.831584611245631</v>
      </c>
      <c r="AI32" s="6">
        <f t="shared" si="20"/>
        <v>-77.030508738569765</v>
      </c>
    </row>
    <row r="33" spans="1:35" ht="15" thickBot="1" x14ac:dyDescent="0.35">
      <c r="A33"/>
      <c r="B33" s="2" t="s">
        <v>31</v>
      </c>
      <c r="C33" s="28">
        <v>1861.3624</v>
      </c>
      <c r="D33" s="6">
        <v>3.1339000000000001</v>
      </c>
      <c r="E33" s="4">
        <v>1720.3697822872</v>
      </c>
      <c r="F33" s="6">
        <v>3.9213</v>
      </c>
      <c r="G33" s="4">
        <v>1516.5561835743999</v>
      </c>
      <c r="H33" s="6">
        <v>3.0806</v>
      </c>
      <c r="I33" s="4">
        <v>1433.3942342671999</v>
      </c>
      <c r="J33" s="6">
        <v>1.8875</v>
      </c>
      <c r="K33" s="4">
        <v>1289.1349255424</v>
      </c>
      <c r="L33" s="6">
        <v>1.7242999999999999</v>
      </c>
      <c r="M33" s="4">
        <v>1218.1034749960002</v>
      </c>
      <c r="O33" s="2" t="s">
        <v>31</v>
      </c>
      <c r="P33" s="6">
        <f t="shared" si="12"/>
        <v>3.1339000000000001</v>
      </c>
      <c r="Q33" s="6">
        <v>92.425299999999993</v>
      </c>
      <c r="R33" s="6">
        <f t="shared" si="0"/>
        <v>3.9213</v>
      </c>
      <c r="S33" s="6">
        <v>81.4756</v>
      </c>
      <c r="T33" s="6">
        <f t="shared" si="1"/>
        <v>3.0806</v>
      </c>
      <c r="U33" s="6">
        <v>77.007800000000003</v>
      </c>
      <c r="V33" s="6">
        <f t="shared" si="2"/>
        <v>1.8875</v>
      </c>
      <c r="W33" s="6">
        <v>69.257599999999996</v>
      </c>
      <c r="X33" s="6">
        <f t="shared" si="3"/>
        <v>1.7242999999999999</v>
      </c>
      <c r="Y33" s="6">
        <v>65.441500000000005</v>
      </c>
      <c r="AA33" s="2" t="s">
        <v>31</v>
      </c>
      <c r="AB33" s="6">
        <f t="shared" si="13"/>
        <v>25.125243307061481</v>
      </c>
      <c r="AC33" s="6">
        <f t="shared" si="14"/>
        <v>-11.847080831763606</v>
      </c>
      <c r="AD33" s="6">
        <f t="shared" si="15"/>
        <v>-1.7007562462108012</v>
      </c>
      <c r="AE33" s="6">
        <f t="shared" si="16"/>
        <v>-16.681038633361212</v>
      </c>
      <c r="AF33" s="6">
        <f t="shared" si="17"/>
        <v>-39.771530680621595</v>
      </c>
      <c r="AG33" s="6">
        <f t="shared" si="18"/>
        <v>-25.066404977857786</v>
      </c>
      <c r="AH33" s="6">
        <f t="shared" si="19"/>
        <v>-44.979099524554073</v>
      </c>
      <c r="AI33" s="6">
        <f t="shared" si="20"/>
        <v>-29.195252814975973</v>
      </c>
    </row>
    <row r="34" spans="1:35" ht="15" thickBot="1" x14ac:dyDescent="0.35">
      <c r="A34"/>
      <c r="B34" s="2" t="s">
        <v>32</v>
      </c>
      <c r="C34" s="28">
        <v>514915.46519999998</v>
      </c>
      <c r="D34" s="6">
        <v>0.62549999999999994</v>
      </c>
      <c r="E34" s="4">
        <v>135216.28624605478</v>
      </c>
      <c r="F34" s="6">
        <v>1.014</v>
      </c>
      <c r="G34" s="4">
        <v>174839.03129319483</v>
      </c>
      <c r="H34" s="6">
        <v>0.75719999999999998</v>
      </c>
      <c r="I34" s="4">
        <v>148922.82101421361</v>
      </c>
      <c r="J34" s="6">
        <v>0.56989999999999996</v>
      </c>
      <c r="K34" s="4">
        <v>126961.67642343359</v>
      </c>
      <c r="L34" s="6">
        <v>0.51719999999999999</v>
      </c>
      <c r="M34" s="4">
        <v>119366.15839626839</v>
      </c>
      <c r="O34" s="2" t="s">
        <v>32</v>
      </c>
      <c r="P34" s="6">
        <f t="shared" si="12"/>
        <v>0.62549999999999994</v>
      </c>
      <c r="Q34" s="6">
        <v>26.259899999999998</v>
      </c>
      <c r="R34" s="6">
        <f t="shared" si="0"/>
        <v>1.014</v>
      </c>
      <c r="S34" s="6">
        <v>33.954900000000002</v>
      </c>
      <c r="T34" s="6">
        <f t="shared" si="1"/>
        <v>0.75719999999999998</v>
      </c>
      <c r="U34" s="6">
        <v>28.921800000000001</v>
      </c>
      <c r="V34" s="6">
        <f t="shared" si="2"/>
        <v>0.56989999999999996</v>
      </c>
      <c r="W34" s="6">
        <v>24.6568</v>
      </c>
      <c r="X34" s="6">
        <f t="shared" si="3"/>
        <v>0.51719999999999999</v>
      </c>
      <c r="Y34" s="6">
        <v>23.181699999999999</v>
      </c>
      <c r="AA34" s="2" t="s">
        <v>32</v>
      </c>
      <c r="AB34" s="6">
        <f t="shared" si="13"/>
        <v>62.11031175059955</v>
      </c>
      <c r="AC34" s="6">
        <f t="shared" si="14"/>
        <v>29.303234208812711</v>
      </c>
      <c r="AD34" s="6">
        <f t="shared" si="15"/>
        <v>21.055155875299775</v>
      </c>
      <c r="AE34" s="6">
        <f t="shared" si="16"/>
        <v>10.136748426307804</v>
      </c>
      <c r="AF34" s="6">
        <f t="shared" si="17"/>
        <v>-8.8888888888888857</v>
      </c>
      <c r="AG34" s="6">
        <f t="shared" si="18"/>
        <v>-6.104745257978891</v>
      </c>
      <c r="AH34" s="6">
        <f t="shared" si="19"/>
        <v>-17.314148681055144</v>
      </c>
      <c r="AI34" s="6">
        <f t="shared" si="20"/>
        <v>-11.722055301048357</v>
      </c>
    </row>
    <row r="35" spans="1:35" ht="15" thickBot="1" x14ac:dyDescent="0.35">
      <c r="A35"/>
      <c r="B35" s="2" t="s">
        <v>33</v>
      </c>
      <c r="C35" s="28">
        <v>4521.3230000000003</v>
      </c>
      <c r="D35" s="6">
        <v>2.1084999999999998</v>
      </c>
      <c r="E35" s="4">
        <v>3590.2333906409999</v>
      </c>
      <c r="F35" s="6">
        <v>1.8438000000000001</v>
      </c>
      <c r="G35" s="4">
        <v>2670.1712880790001</v>
      </c>
      <c r="H35" s="6">
        <v>1.5436000000000001</v>
      </c>
      <c r="I35" s="4">
        <v>2522.0120546920002</v>
      </c>
      <c r="J35" s="6">
        <v>1.0714999999999999</v>
      </c>
      <c r="K35" s="4">
        <v>1895.0537582509999</v>
      </c>
      <c r="L35" s="6">
        <v>0.92049999999999998</v>
      </c>
      <c r="M35" s="4">
        <v>1471.6680298850001</v>
      </c>
      <c r="O35" s="2" t="s">
        <v>33</v>
      </c>
      <c r="P35" s="6">
        <f t="shared" si="12"/>
        <v>2.1084999999999998</v>
      </c>
      <c r="Q35" s="6">
        <v>79.406700000000001</v>
      </c>
      <c r="R35" s="6">
        <f t="shared" si="0"/>
        <v>1.8438000000000001</v>
      </c>
      <c r="S35" s="6">
        <v>59.057299999999998</v>
      </c>
      <c r="T35" s="6">
        <f t="shared" si="1"/>
        <v>1.5436000000000001</v>
      </c>
      <c r="U35" s="6">
        <v>55.7804</v>
      </c>
      <c r="V35" s="6">
        <f t="shared" si="2"/>
        <v>1.0714999999999999</v>
      </c>
      <c r="W35" s="6">
        <v>41.913699999999999</v>
      </c>
      <c r="X35" s="6">
        <f t="shared" si="3"/>
        <v>0.92049999999999998</v>
      </c>
      <c r="Y35" s="6">
        <v>32.549500000000002</v>
      </c>
      <c r="AA35" s="2" t="s">
        <v>33</v>
      </c>
      <c r="AB35" s="6">
        <f t="shared" si="13"/>
        <v>-12.553948304481835</v>
      </c>
      <c r="AC35" s="6">
        <f t="shared" si="14"/>
        <v>-25.626804791031489</v>
      </c>
      <c r="AD35" s="6">
        <f t="shared" si="15"/>
        <v>-26.791557979606338</v>
      </c>
      <c r="AE35" s="6">
        <f t="shared" si="16"/>
        <v>-29.753534651358137</v>
      </c>
      <c r="AF35" s="6">
        <f t="shared" si="17"/>
        <v>-49.181882855110267</v>
      </c>
      <c r="AG35" s="6">
        <f t="shared" si="18"/>
        <v>-47.216418765670909</v>
      </c>
      <c r="AH35" s="6">
        <f t="shared" si="19"/>
        <v>-56.343372065449373</v>
      </c>
      <c r="AI35" s="6">
        <f t="shared" si="20"/>
        <v>-59.009126433915519</v>
      </c>
    </row>
    <row r="36" spans="1:35" ht="15" thickBot="1" x14ac:dyDescent="0.35">
      <c r="A36"/>
      <c r="B36" s="2" t="s">
        <v>34</v>
      </c>
      <c r="C36" s="28">
        <v>201.70689999999999</v>
      </c>
      <c r="D36" s="6">
        <v>0.11409999999999999</v>
      </c>
      <c r="E36" s="4">
        <v>10.3360666767</v>
      </c>
      <c r="F36" s="6">
        <v>0.13780000000000001</v>
      </c>
      <c r="G36" s="4">
        <v>4.9061169287000004</v>
      </c>
      <c r="H36" s="6">
        <v>0.104</v>
      </c>
      <c r="I36" s="4">
        <v>4.7727886677999996</v>
      </c>
      <c r="J36" s="6">
        <v>6.7000000000000004E-2</v>
      </c>
      <c r="K36" s="4">
        <v>3.5579080090999997</v>
      </c>
      <c r="L36" s="6">
        <v>6.2399999999999997E-2</v>
      </c>
      <c r="M36" s="4">
        <v>3.1018487082000004</v>
      </c>
      <c r="O36" s="2" t="s">
        <v>34</v>
      </c>
      <c r="P36" s="6">
        <f t="shared" si="12"/>
        <v>0.11409999999999999</v>
      </c>
      <c r="Q36" s="6">
        <v>5.1242999999999999</v>
      </c>
      <c r="R36" s="6">
        <f t="shared" si="0"/>
        <v>0.13780000000000001</v>
      </c>
      <c r="S36" s="6">
        <v>2.4323000000000001</v>
      </c>
      <c r="T36" s="6">
        <f t="shared" si="1"/>
        <v>0.104</v>
      </c>
      <c r="U36" s="6">
        <v>2.3662000000000001</v>
      </c>
      <c r="V36" s="6">
        <f t="shared" si="2"/>
        <v>6.7000000000000004E-2</v>
      </c>
      <c r="W36" s="6">
        <v>1.7639</v>
      </c>
      <c r="X36" s="6">
        <f t="shared" si="3"/>
        <v>6.2399999999999997E-2</v>
      </c>
      <c r="Y36" s="6">
        <v>1.5378000000000001</v>
      </c>
      <c r="AA36" s="2" t="s">
        <v>34</v>
      </c>
      <c r="AB36" s="6">
        <f t="shared" si="13"/>
        <v>20.771253286590721</v>
      </c>
      <c r="AC36" s="6">
        <f t="shared" si="14"/>
        <v>-52.534004644536815</v>
      </c>
      <c r="AD36" s="6">
        <f t="shared" si="15"/>
        <v>-8.8518843120070017</v>
      </c>
      <c r="AE36" s="6">
        <f t="shared" si="16"/>
        <v>-53.823936927970657</v>
      </c>
      <c r="AF36" s="6">
        <f t="shared" si="17"/>
        <v>-41.279579316389125</v>
      </c>
      <c r="AG36" s="6">
        <f t="shared" si="18"/>
        <v>-65.577737447065942</v>
      </c>
      <c r="AH36" s="6">
        <f t="shared" si="19"/>
        <v>-45.311130587204211</v>
      </c>
      <c r="AI36" s="6">
        <f t="shared" si="20"/>
        <v>-69.990047421111171</v>
      </c>
    </row>
    <row r="37" spans="1:35" ht="15" thickBot="1" x14ac:dyDescent="0.35">
      <c r="A37"/>
      <c r="B37" s="2" t="s">
        <v>35</v>
      </c>
      <c r="C37" s="28">
        <v>39.861600000000003</v>
      </c>
      <c r="D37" s="6">
        <v>2.8856000000000002</v>
      </c>
      <c r="E37" s="4">
        <v>39.103113475200004</v>
      </c>
      <c r="F37" s="6">
        <v>5.0286999999999997</v>
      </c>
      <c r="G37" s="4">
        <v>39.317728329600001</v>
      </c>
      <c r="H37" s="6">
        <v>3.7311999999999999</v>
      </c>
      <c r="I37" s="4">
        <v>38.635018706400004</v>
      </c>
      <c r="J37" s="6">
        <v>1.7543</v>
      </c>
      <c r="K37" s="4">
        <v>37.471099848000001</v>
      </c>
      <c r="L37" s="6">
        <v>1.6229</v>
      </c>
      <c r="M37" s="4">
        <v>36.265007416800003</v>
      </c>
      <c r="O37" s="2" t="s">
        <v>35</v>
      </c>
      <c r="P37" s="6">
        <f t="shared" si="12"/>
        <v>2.8856000000000002</v>
      </c>
      <c r="Q37" s="6">
        <v>98.097200000000001</v>
      </c>
      <c r="R37" s="6">
        <f t="shared" si="0"/>
        <v>5.0286999999999997</v>
      </c>
      <c r="S37" s="6">
        <v>98.635599999999997</v>
      </c>
      <c r="T37" s="6">
        <f t="shared" si="1"/>
        <v>3.7311999999999999</v>
      </c>
      <c r="U37" s="6">
        <v>96.922899999999998</v>
      </c>
      <c r="V37" s="6">
        <f t="shared" si="2"/>
        <v>1.7543</v>
      </c>
      <c r="W37" s="6">
        <v>94.003</v>
      </c>
      <c r="X37" s="6">
        <f t="shared" si="3"/>
        <v>1.6229</v>
      </c>
      <c r="Y37" s="6">
        <v>90.9773</v>
      </c>
      <c r="AA37" s="2" t="s">
        <v>35</v>
      </c>
      <c r="AB37" s="6">
        <f t="shared" si="13"/>
        <v>74.268782922095909</v>
      </c>
      <c r="AC37" s="6">
        <f t="shared" si="14"/>
        <v>0.54884339206418531</v>
      </c>
      <c r="AD37" s="6">
        <f t="shared" si="15"/>
        <v>29.304130856667598</v>
      </c>
      <c r="AE37" s="6">
        <f t="shared" si="16"/>
        <v>-1.1970780001875596</v>
      </c>
      <c r="AF37" s="6">
        <f t="shared" si="17"/>
        <v>-39.205018020515666</v>
      </c>
      <c r="AG37" s="6">
        <f t="shared" si="18"/>
        <v>-4.1736155568150792</v>
      </c>
      <c r="AH37" s="6">
        <f t="shared" si="19"/>
        <v>-43.758663709453849</v>
      </c>
      <c r="AI37" s="6">
        <f t="shared" si="20"/>
        <v>-7.2580053253303873</v>
      </c>
    </row>
    <row r="38" spans="1:35" ht="15" thickBot="1" x14ac:dyDescent="0.35">
      <c r="A38"/>
      <c r="B38" s="2" t="s">
        <v>36</v>
      </c>
      <c r="C38" s="28">
        <v>1.9602999999999999</v>
      </c>
      <c r="D38" s="6">
        <v>1.2024999999999999</v>
      </c>
      <c r="E38" s="4">
        <v>1.9602999999999999</v>
      </c>
      <c r="F38" s="6">
        <v>0.1041</v>
      </c>
      <c r="G38" s="4">
        <v>1.60470158</v>
      </c>
      <c r="H38" s="6">
        <v>2.7799999999999998E-2</v>
      </c>
      <c r="I38" s="4">
        <v>0.75730113570000002</v>
      </c>
      <c r="J38" s="6">
        <v>1.35E-2</v>
      </c>
      <c r="K38" s="4">
        <v>1.4600314400000002E-2</v>
      </c>
      <c r="L38" s="6">
        <v>7.1999999999999998E-3</v>
      </c>
      <c r="M38" s="4">
        <v>1.4600314400000002E-2</v>
      </c>
      <c r="O38" s="2" t="s">
        <v>36</v>
      </c>
      <c r="P38" s="6">
        <f t="shared" si="12"/>
        <v>1.2024999999999999</v>
      </c>
      <c r="Q38" s="6">
        <v>100</v>
      </c>
      <c r="R38" s="6">
        <f t="shared" si="0"/>
        <v>0.1041</v>
      </c>
      <c r="S38" s="6">
        <v>81.86</v>
      </c>
      <c r="T38" s="6">
        <f t="shared" si="1"/>
        <v>2.7799999999999998E-2</v>
      </c>
      <c r="U38" s="6">
        <v>38.631900000000002</v>
      </c>
      <c r="V38" s="6">
        <f t="shared" si="2"/>
        <v>1.35E-2</v>
      </c>
      <c r="W38" s="6">
        <v>0.74480000000000002</v>
      </c>
      <c r="X38" s="6">
        <f t="shared" si="3"/>
        <v>7.1999999999999998E-3</v>
      </c>
      <c r="Y38" s="6">
        <v>0.74480000000000002</v>
      </c>
      <c r="AA38" s="2" t="s">
        <v>36</v>
      </c>
      <c r="AB38" s="6">
        <f t="shared" si="13"/>
        <v>-91.343035343035339</v>
      </c>
      <c r="AC38" s="6">
        <f t="shared" si="14"/>
        <v>-18.14</v>
      </c>
      <c r="AD38" s="6">
        <f t="shared" si="15"/>
        <v>-97.688149688149693</v>
      </c>
      <c r="AE38" s="6">
        <f t="shared" si="16"/>
        <v>-61.368099999999998</v>
      </c>
      <c r="AF38" s="6">
        <f t="shared" si="17"/>
        <v>-98.877338877338872</v>
      </c>
      <c r="AG38" s="6">
        <f t="shared" si="18"/>
        <v>-99.255200000000002</v>
      </c>
      <c r="AH38" s="6">
        <f t="shared" si="19"/>
        <v>-99.401247401247403</v>
      </c>
      <c r="AI38" s="6">
        <f t="shared" si="20"/>
        <v>-99.255200000000002</v>
      </c>
    </row>
    <row r="39" spans="1:35" ht="15" thickBot="1" x14ac:dyDescent="0.35">
      <c r="A39"/>
      <c r="B39" s="2" t="s">
        <v>37</v>
      </c>
      <c r="C39" s="28">
        <v>286709.89520000003</v>
      </c>
      <c r="D39" s="6">
        <v>2.4369000000000001</v>
      </c>
      <c r="E39" s="4">
        <v>141235.30134478642</v>
      </c>
      <c r="F39" s="6">
        <v>1.1519999999999999</v>
      </c>
      <c r="G39" s="4">
        <v>81766.795012087998</v>
      </c>
      <c r="H39" s="6">
        <v>0.92369999999999997</v>
      </c>
      <c r="I39" s="4">
        <v>67587.270435076804</v>
      </c>
      <c r="J39" s="6">
        <v>0.753</v>
      </c>
      <c r="K39" s="4">
        <v>52547.329462570407</v>
      </c>
      <c r="L39" s="6">
        <v>0.55879999999999996</v>
      </c>
      <c r="M39" s="4">
        <v>41274.756512992004</v>
      </c>
      <c r="O39" s="2" t="s">
        <v>37</v>
      </c>
      <c r="P39" s="6">
        <f t="shared" si="12"/>
        <v>2.4369000000000001</v>
      </c>
      <c r="Q39" s="6">
        <v>49.2607</v>
      </c>
      <c r="R39" s="6">
        <f t="shared" si="0"/>
        <v>1.1519999999999999</v>
      </c>
      <c r="S39" s="6">
        <v>28.518999999999998</v>
      </c>
      <c r="T39" s="6">
        <f t="shared" si="1"/>
        <v>0.92369999999999997</v>
      </c>
      <c r="U39" s="6">
        <v>23.573399999999999</v>
      </c>
      <c r="V39" s="6">
        <f t="shared" si="2"/>
        <v>0.753</v>
      </c>
      <c r="W39" s="6">
        <v>18.3277</v>
      </c>
      <c r="X39" s="6">
        <f t="shared" si="3"/>
        <v>0.55879999999999996</v>
      </c>
      <c r="Y39" s="6">
        <v>14.396000000000001</v>
      </c>
      <c r="AA39" s="2" t="s">
        <v>37</v>
      </c>
      <c r="AB39" s="6">
        <f t="shared" si="13"/>
        <v>-52.726825064631299</v>
      </c>
      <c r="AC39" s="6">
        <f t="shared" si="14"/>
        <v>-42.105979005576465</v>
      </c>
      <c r="AD39" s="6">
        <f t="shared" si="15"/>
        <v>-62.095284993229107</v>
      </c>
      <c r="AE39" s="6">
        <f t="shared" si="16"/>
        <v>-52.145625214420427</v>
      </c>
      <c r="AF39" s="6">
        <f t="shared" si="17"/>
        <v>-69.100086175058479</v>
      </c>
      <c r="AG39" s="6">
        <f t="shared" si="18"/>
        <v>-62.794479168992723</v>
      </c>
      <c r="AH39" s="6">
        <f t="shared" si="19"/>
        <v>-77.069227296975669</v>
      </c>
      <c r="AI39" s="6">
        <f t="shared" si="20"/>
        <v>-70.775892344201367</v>
      </c>
    </row>
    <row r="40" spans="1:35" ht="15" thickBot="1" x14ac:dyDescent="0.35">
      <c r="A40"/>
      <c r="B40" s="2" t="s">
        <v>38</v>
      </c>
      <c r="C40" s="28">
        <v>4010.4657999999999</v>
      </c>
      <c r="D40" s="6">
        <v>0.39750000000000002</v>
      </c>
      <c r="E40" s="4">
        <v>517.75113478000003</v>
      </c>
      <c r="F40" s="6">
        <v>0.68410000000000004</v>
      </c>
      <c r="G40" s="4">
        <v>723.84897224200006</v>
      </c>
      <c r="H40" s="6">
        <v>0.56000000000000005</v>
      </c>
      <c r="I40" s="4">
        <v>661.3979988044</v>
      </c>
      <c r="J40" s="6">
        <v>0.3216</v>
      </c>
      <c r="K40" s="4">
        <v>451.10521411560001</v>
      </c>
      <c r="L40" s="6">
        <v>0.29170000000000001</v>
      </c>
      <c r="M40" s="4">
        <v>436.82394540179996</v>
      </c>
      <c r="O40" s="2" t="s">
        <v>38</v>
      </c>
      <c r="P40" s="6">
        <f t="shared" si="12"/>
        <v>0.39750000000000002</v>
      </c>
      <c r="Q40" s="6">
        <v>12.91</v>
      </c>
      <c r="R40" s="6">
        <f t="shared" si="0"/>
        <v>0.68410000000000004</v>
      </c>
      <c r="S40" s="6">
        <v>18.048999999999999</v>
      </c>
      <c r="T40" s="6">
        <f t="shared" si="1"/>
        <v>0.56000000000000005</v>
      </c>
      <c r="U40" s="6">
        <v>16.491800000000001</v>
      </c>
      <c r="V40" s="6">
        <f t="shared" si="2"/>
        <v>0.3216</v>
      </c>
      <c r="W40" s="6">
        <v>11.248200000000001</v>
      </c>
      <c r="X40" s="6">
        <f t="shared" si="3"/>
        <v>0.29170000000000001</v>
      </c>
      <c r="Y40" s="6">
        <v>10.892099999999999</v>
      </c>
      <c r="AA40" s="2" t="s">
        <v>38</v>
      </c>
      <c r="AB40" s="6">
        <f t="shared" si="13"/>
        <v>72.100628930817635</v>
      </c>
      <c r="AC40" s="6">
        <f t="shared" si="14"/>
        <v>39.806351665375672</v>
      </c>
      <c r="AD40" s="6">
        <f t="shared" si="15"/>
        <v>40.880503144654085</v>
      </c>
      <c r="AE40" s="6">
        <f t="shared" si="16"/>
        <v>27.744384198295876</v>
      </c>
      <c r="AF40" s="6">
        <f t="shared" si="17"/>
        <v>-19.094339622641527</v>
      </c>
      <c r="AG40" s="6">
        <f t="shared" si="18"/>
        <v>-12.872192099147952</v>
      </c>
      <c r="AH40" s="6">
        <f t="shared" si="19"/>
        <v>-26.616352201257854</v>
      </c>
      <c r="AI40" s="6">
        <f t="shared" si="20"/>
        <v>-15.630518977536809</v>
      </c>
    </row>
    <row r="41" spans="1:35" ht="15" thickBot="1" x14ac:dyDescent="0.35">
      <c r="A41"/>
      <c r="B41" s="2" t="s">
        <v>39</v>
      </c>
      <c r="C41" s="28">
        <v>255253.66320000001</v>
      </c>
      <c r="D41" s="6">
        <v>4.5999999999999999E-2</v>
      </c>
      <c r="E41" s="4">
        <v>2283.7545246504001</v>
      </c>
      <c r="F41" s="6">
        <v>1.5800000000000002E-2</v>
      </c>
      <c r="G41" s="4">
        <v>1662.7223620847999</v>
      </c>
      <c r="H41" s="6">
        <v>9.4000000000000004E-3</v>
      </c>
      <c r="I41" s="4">
        <v>1305.622487268</v>
      </c>
      <c r="J41" s="6">
        <v>4.7999999999999996E-3</v>
      </c>
      <c r="K41" s="4">
        <v>804.55954640640005</v>
      </c>
      <c r="L41" s="6">
        <v>1.4E-3</v>
      </c>
      <c r="M41" s="4">
        <v>338.46635740319999</v>
      </c>
      <c r="O41" s="2" t="s">
        <v>39</v>
      </c>
      <c r="P41" s="6">
        <f t="shared" si="12"/>
        <v>4.5999999999999999E-2</v>
      </c>
      <c r="Q41" s="6">
        <v>0.89470000000000005</v>
      </c>
      <c r="R41" s="6">
        <f t="shared" si="0"/>
        <v>1.5800000000000002E-2</v>
      </c>
      <c r="S41" s="6">
        <v>0.65139999999999998</v>
      </c>
      <c r="T41" s="6">
        <f t="shared" si="1"/>
        <v>9.4000000000000004E-3</v>
      </c>
      <c r="U41" s="6">
        <v>0.51149999999999995</v>
      </c>
      <c r="V41" s="6">
        <f t="shared" si="2"/>
        <v>4.7999999999999996E-3</v>
      </c>
      <c r="W41" s="6">
        <v>0.31519999999999998</v>
      </c>
      <c r="X41" s="6">
        <f t="shared" si="3"/>
        <v>1.4E-3</v>
      </c>
      <c r="Y41" s="6">
        <v>0.1326</v>
      </c>
      <c r="AA41" s="2" t="s">
        <v>39</v>
      </c>
      <c r="AB41" s="6">
        <f t="shared" si="13"/>
        <v>-65.65217391304347</v>
      </c>
      <c r="AC41" s="6">
        <f t="shared" si="14"/>
        <v>-27.193472672404155</v>
      </c>
      <c r="AD41" s="6">
        <f t="shared" si="15"/>
        <v>-79.565217391304344</v>
      </c>
      <c r="AE41" s="6">
        <f t="shared" si="16"/>
        <v>-42.829998882306924</v>
      </c>
      <c r="AF41" s="6">
        <f t="shared" si="17"/>
        <v>-89.565217391304344</v>
      </c>
      <c r="AG41" s="6">
        <f t="shared" si="18"/>
        <v>-64.770314071755905</v>
      </c>
      <c r="AH41" s="6">
        <f t="shared" si="19"/>
        <v>-96.956521739130437</v>
      </c>
      <c r="AI41" s="6">
        <f t="shared" si="20"/>
        <v>-85.179389739577516</v>
      </c>
    </row>
    <row r="42" spans="1:35" ht="15" thickBot="1" x14ac:dyDescent="0.35">
      <c r="A42"/>
      <c r="B42" s="2" t="s">
        <v>40</v>
      </c>
      <c r="C42" s="28">
        <v>1996.5210999999999</v>
      </c>
      <c r="D42" s="6">
        <v>4.4744999999999999</v>
      </c>
      <c r="E42" s="4">
        <v>1387.6660183862</v>
      </c>
      <c r="F42" s="6">
        <v>1.2337</v>
      </c>
      <c r="G42" s="4">
        <v>597.06961756049998</v>
      </c>
      <c r="H42" s="6">
        <v>0.97519999999999996</v>
      </c>
      <c r="I42" s="4">
        <v>486.15688089219998</v>
      </c>
      <c r="J42" s="6">
        <v>0.92959999999999998</v>
      </c>
      <c r="K42" s="4">
        <v>459.96452058129995</v>
      </c>
      <c r="L42" s="6">
        <v>0.50980000000000003</v>
      </c>
      <c r="M42" s="4">
        <v>350.60308080770005</v>
      </c>
      <c r="O42" s="2" t="s">
        <v>40</v>
      </c>
      <c r="P42" s="6">
        <f t="shared" si="12"/>
        <v>4.4744999999999999</v>
      </c>
      <c r="Q42" s="6">
        <v>69.504199999999997</v>
      </c>
      <c r="R42" s="6">
        <f t="shared" si="0"/>
        <v>1.2337</v>
      </c>
      <c r="S42" s="6">
        <v>29.9055</v>
      </c>
      <c r="T42" s="6">
        <f t="shared" si="1"/>
        <v>0.97519999999999996</v>
      </c>
      <c r="U42" s="6">
        <v>24.350200000000001</v>
      </c>
      <c r="V42" s="6">
        <f t="shared" si="2"/>
        <v>0.92959999999999998</v>
      </c>
      <c r="W42" s="6">
        <v>23.0383</v>
      </c>
      <c r="X42" s="6">
        <f t="shared" si="3"/>
        <v>0.50980000000000003</v>
      </c>
      <c r="Y42" s="6">
        <v>17.560700000000001</v>
      </c>
      <c r="AA42" s="2" t="s">
        <v>40</v>
      </c>
      <c r="AB42" s="6">
        <f t="shared" si="13"/>
        <v>-72.428204268633365</v>
      </c>
      <c r="AC42" s="6">
        <f t="shared" si="14"/>
        <v>-56.973103783656242</v>
      </c>
      <c r="AD42" s="6">
        <f t="shared" si="15"/>
        <v>-78.205386076656609</v>
      </c>
      <c r="AE42" s="6">
        <f t="shared" si="16"/>
        <v>-64.965858178354694</v>
      </c>
      <c r="AF42" s="6">
        <f t="shared" si="17"/>
        <v>-79.224494356911393</v>
      </c>
      <c r="AG42" s="6">
        <f t="shared" si="18"/>
        <v>-66.853370012171922</v>
      </c>
      <c r="AH42" s="6">
        <f t="shared" si="19"/>
        <v>-88.606548217677954</v>
      </c>
      <c r="AI42" s="6">
        <f t="shared" si="20"/>
        <v>-74.734332601483075</v>
      </c>
    </row>
    <row r="43" spans="1:35" ht="15" thickBot="1" x14ac:dyDescent="0.35">
      <c r="A43"/>
      <c r="B43" s="2" t="s">
        <v>41</v>
      </c>
      <c r="C43" s="28">
        <v>142690.37400000001</v>
      </c>
      <c r="D43" s="6">
        <v>8.9999999999999998E-4</v>
      </c>
      <c r="E43" s="4">
        <v>178.22027712600001</v>
      </c>
      <c r="F43" s="6">
        <v>3.5999999999999999E-3</v>
      </c>
      <c r="G43" s="4">
        <v>334.32354628200005</v>
      </c>
      <c r="H43" s="6">
        <v>1.6000000000000001E-3</v>
      </c>
      <c r="I43" s="4">
        <v>224.88002942399999</v>
      </c>
      <c r="J43" s="6">
        <v>1E-3</v>
      </c>
      <c r="K43" s="4">
        <v>161.81088411600001</v>
      </c>
      <c r="L43" s="6">
        <v>1E-3</v>
      </c>
      <c r="M43" s="4">
        <v>134.69971305600001</v>
      </c>
      <c r="O43" s="2" t="s">
        <v>41</v>
      </c>
      <c r="P43" s="6">
        <f t="shared" si="12"/>
        <v>8.9999999999999998E-4</v>
      </c>
      <c r="Q43" s="6">
        <v>0.1249</v>
      </c>
      <c r="R43" s="6">
        <f t="shared" si="0"/>
        <v>3.5999999999999999E-3</v>
      </c>
      <c r="S43" s="6">
        <v>0.23430000000000001</v>
      </c>
      <c r="T43" s="6">
        <f t="shared" si="1"/>
        <v>1.6000000000000001E-3</v>
      </c>
      <c r="U43" s="6">
        <v>0.15759999999999999</v>
      </c>
      <c r="V43" s="6">
        <f t="shared" si="2"/>
        <v>1E-3</v>
      </c>
      <c r="W43" s="6">
        <v>0.1134</v>
      </c>
      <c r="X43" s="6">
        <f t="shared" si="3"/>
        <v>1E-3</v>
      </c>
      <c r="Y43" s="6">
        <v>9.4399999999999998E-2</v>
      </c>
      <c r="AA43" s="2" t="s">
        <v>41</v>
      </c>
      <c r="AB43" s="6">
        <f t="shared" si="13"/>
        <v>300</v>
      </c>
      <c r="AC43" s="6">
        <f t="shared" si="14"/>
        <v>87.590072057646125</v>
      </c>
      <c r="AD43" s="6">
        <f t="shared" si="15"/>
        <v>77.7777777777778</v>
      </c>
      <c r="AE43" s="6">
        <f t="shared" si="16"/>
        <v>26.180944755804632</v>
      </c>
      <c r="AF43" s="6">
        <f t="shared" si="17"/>
        <v>11.111111111111114</v>
      </c>
      <c r="AG43" s="6">
        <f t="shared" si="18"/>
        <v>-9.2073658927141651</v>
      </c>
      <c r="AH43" s="6">
        <f t="shared" si="19"/>
        <v>11.111111111111114</v>
      </c>
      <c r="AI43" s="6">
        <f t="shared" si="20"/>
        <v>-24.419535628502814</v>
      </c>
    </row>
    <row r="44" spans="1:35" ht="15" thickBot="1" x14ac:dyDescent="0.35">
      <c r="A44"/>
      <c r="B44" s="2" t="s">
        <v>42</v>
      </c>
      <c r="C44" s="28">
        <v>122437.18120000001</v>
      </c>
      <c r="D44" s="6">
        <v>1.7853000000000001</v>
      </c>
      <c r="E44" s="4">
        <v>74980.529766880005</v>
      </c>
      <c r="F44" s="6">
        <v>2.5137999999999998</v>
      </c>
      <c r="G44" s="4">
        <v>81962.510024809992</v>
      </c>
      <c r="H44" s="6">
        <v>2.101</v>
      </c>
      <c r="I44" s="4">
        <v>74737.614399379207</v>
      </c>
      <c r="J44" s="6">
        <v>1.6184000000000001</v>
      </c>
      <c r="K44" s="4">
        <v>68388.144619528393</v>
      </c>
      <c r="L44" s="6">
        <v>1.4754</v>
      </c>
      <c r="M44" s="4">
        <v>63040.823167799608</v>
      </c>
      <c r="O44" s="2" t="s">
        <v>42</v>
      </c>
      <c r="P44" s="6">
        <f t="shared" si="12"/>
        <v>1.7853000000000001</v>
      </c>
      <c r="Q44" s="6">
        <v>61.24</v>
      </c>
      <c r="R44" s="6">
        <f t="shared" si="0"/>
        <v>2.5137999999999998</v>
      </c>
      <c r="S44" s="6">
        <v>66.942499999999995</v>
      </c>
      <c r="T44" s="6">
        <f t="shared" si="1"/>
        <v>2.101</v>
      </c>
      <c r="U44" s="6">
        <v>61.041600000000003</v>
      </c>
      <c r="V44" s="6">
        <f t="shared" si="2"/>
        <v>1.6184000000000001</v>
      </c>
      <c r="W44" s="6">
        <v>55.855699999999999</v>
      </c>
      <c r="X44" s="6">
        <f t="shared" si="3"/>
        <v>1.4754</v>
      </c>
      <c r="Y44" s="6">
        <v>51.488300000000002</v>
      </c>
      <c r="AA44" s="2" t="s">
        <v>42</v>
      </c>
      <c r="AB44" s="6">
        <f t="shared" si="13"/>
        <v>40.805466868313431</v>
      </c>
      <c r="AC44" s="6">
        <f t="shared" si="14"/>
        <v>9.3117243631613178</v>
      </c>
      <c r="AD44" s="6">
        <f t="shared" si="15"/>
        <v>17.683302526186068</v>
      </c>
      <c r="AE44" s="6">
        <f t="shared" si="16"/>
        <v>-0.3239712606139733</v>
      </c>
      <c r="AF44" s="6">
        <f t="shared" si="17"/>
        <v>-9.3485688679773773</v>
      </c>
      <c r="AG44" s="6">
        <f t="shared" si="18"/>
        <v>-8.7921293272371202</v>
      </c>
      <c r="AH44" s="6">
        <f t="shared" si="19"/>
        <v>-17.358427155099989</v>
      </c>
      <c r="AI44" s="6">
        <f t="shared" si="20"/>
        <v>-15.923742651861517</v>
      </c>
    </row>
    <row r="45" spans="1:35" s="10" customFormat="1" ht="15" thickBot="1" x14ac:dyDescent="0.35">
      <c r="A45"/>
      <c r="B45" s="2" t="s">
        <v>43</v>
      </c>
      <c r="C45" s="28">
        <v>43008.146000000001</v>
      </c>
      <c r="D45" s="6">
        <v>2.9518</v>
      </c>
      <c r="E45" s="4">
        <v>36155.142000068001</v>
      </c>
      <c r="F45" s="6">
        <v>2.9134000000000002</v>
      </c>
      <c r="G45" s="4">
        <v>36192.817135964004</v>
      </c>
      <c r="H45" s="6">
        <v>2.3330000000000002</v>
      </c>
      <c r="I45" s="4">
        <v>33668.410998348001</v>
      </c>
      <c r="J45" s="6">
        <v>1.7717000000000001</v>
      </c>
      <c r="K45" s="4">
        <v>31566.344854451996</v>
      </c>
      <c r="L45" s="6">
        <v>1.4541999999999999</v>
      </c>
      <c r="M45" s="4">
        <v>24396.886916251999</v>
      </c>
      <c r="O45" s="2" t="s">
        <v>43</v>
      </c>
      <c r="P45" s="6">
        <f t="shared" si="12"/>
        <v>2.9518</v>
      </c>
      <c r="Q45" s="6">
        <v>84.065799999999996</v>
      </c>
      <c r="R45" s="6">
        <f t="shared" si="0"/>
        <v>2.9134000000000002</v>
      </c>
      <c r="S45" s="6">
        <v>84.153400000000005</v>
      </c>
      <c r="T45" s="6">
        <f t="shared" si="1"/>
        <v>2.3330000000000002</v>
      </c>
      <c r="U45" s="6">
        <v>78.283799999999999</v>
      </c>
      <c r="V45" s="6">
        <f t="shared" si="2"/>
        <v>1.7717000000000001</v>
      </c>
      <c r="W45" s="6">
        <v>73.396199999999993</v>
      </c>
      <c r="X45" s="6">
        <f t="shared" si="3"/>
        <v>1.4541999999999999</v>
      </c>
      <c r="Y45" s="6">
        <v>56.726199999999999</v>
      </c>
      <c r="AA45" s="2" t="s">
        <v>43</v>
      </c>
      <c r="AB45" s="6">
        <f t="shared" si="13"/>
        <v>-1.3009011450640173</v>
      </c>
      <c r="AC45" s="6">
        <f t="shared" si="14"/>
        <v>0.10420408775031831</v>
      </c>
      <c r="AD45" s="6">
        <f t="shared" si="15"/>
        <v>-20.963479910563038</v>
      </c>
      <c r="AE45" s="6">
        <f t="shared" si="16"/>
        <v>-6.8779456092727287</v>
      </c>
      <c r="AF45" s="6">
        <f t="shared" si="17"/>
        <v>-39.978995866928649</v>
      </c>
      <c r="AG45" s="6">
        <f t="shared" si="18"/>
        <v>-12.691962724437303</v>
      </c>
      <c r="AH45" s="6">
        <f t="shared" si="19"/>
        <v>-50.735144657497123</v>
      </c>
      <c r="AI45" s="6">
        <f t="shared" si="20"/>
        <v>-32.521667550894662</v>
      </c>
    </row>
    <row r="46" spans="1:35" ht="15" thickBot="1" x14ac:dyDescent="0.35">
      <c r="A46"/>
      <c r="B46" s="2" t="s">
        <v>44</v>
      </c>
      <c r="C46" s="28">
        <v>159060.46669999999</v>
      </c>
      <c r="D46" s="6">
        <v>2.3893</v>
      </c>
      <c r="E46" s="4">
        <v>58808.153869257403</v>
      </c>
      <c r="F46" s="6">
        <v>1.8671</v>
      </c>
      <c r="G46" s="4">
        <v>55171.713479561993</v>
      </c>
      <c r="H46" s="6">
        <v>1.6678999999999999</v>
      </c>
      <c r="I46" s="4">
        <v>54944.257012180991</v>
      </c>
      <c r="J46" s="6">
        <v>1.3476999999999999</v>
      </c>
      <c r="K46" s="4">
        <v>54700.894498130001</v>
      </c>
      <c r="L46" s="6">
        <v>1.1796</v>
      </c>
      <c r="M46" s="4">
        <v>53644.255817841906</v>
      </c>
      <c r="O46" s="2" t="s">
        <v>44</v>
      </c>
      <c r="P46" s="6">
        <f t="shared" si="12"/>
        <v>2.3893</v>
      </c>
      <c r="Q46" s="6">
        <v>36.972200000000001</v>
      </c>
      <c r="R46" s="6">
        <f t="shared" si="0"/>
        <v>1.8671</v>
      </c>
      <c r="S46" s="6">
        <v>34.686</v>
      </c>
      <c r="T46" s="6">
        <f t="shared" si="1"/>
        <v>1.6678999999999999</v>
      </c>
      <c r="U46" s="6">
        <v>34.542999999999999</v>
      </c>
      <c r="V46" s="6">
        <f t="shared" si="2"/>
        <v>1.3476999999999999</v>
      </c>
      <c r="W46" s="6">
        <v>34.39</v>
      </c>
      <c r="X46" s="6">
        <f t="shared" si="3"/>
        <v>1.1796</v>
      </c>
      <c r="Y46" s="6">
        <v>33.725700000000003</v>
      </c>
      <c r="AA46" s="2" t="s">
        <v>44</v>
      </c>
      <c r="AB46" s="6">
        <f t="shared" si="13"/>
        <v>-21.855773657556597</v>
      </c>
      <c r="AC46" s="6">
        <f t="shared" si="14"/>
        <v>-6.1835649487993862</v>
      </c>
      <c r="AD46" s="6">
        <f t="shared" si="15"/>
        <v>-30.192943539948942</v>
      </c>
      <c r="AE46" s="6">
        <f t="shared" si="16"/>
        <v>-6.5703420407765947</v>
      </c>
      <c r="AF46" s="6">
        <f t="shared" si="17"/>
        <v>-43.594358180220155</v>
      </c>
      <c r="AG46" s="6">
        <f t="shared" si="18"/>
        <v>-6.9841664818431184</v>
      </c>
      <c r="AH46" s="6">
        <f t="shared" si="19"/>
        <v>-50.629891600050229</v>
      </c>
      <c r="AI46" s="6">
        <f t="shared" si="20"/>
        <v>-8.7809218818463535</v>
      </c>
    </row>
    <row r="47" spans="1:35" ht="15" thickBot="1" x14ac:dyDescent="0.35">
      <c r="A47"/>
      <c r="B47" s="2" t="s">
        <v>45</v>
      </c>
      <c r="C47" s="28">
        <v>109286.1234</v>
      </c>
      <c r="D47" s="6">
        <v>1.2598</v>
      </c>
      <c r="E47" s="4">
        <v>36311.079502513807</v>
      </c>
      <c r="F47" s="6">
        <v>1.3389</v>
      </c>
      <c r="G47" s="4">
        <v>36017.318402814592</v>
      </c>
      <c r="H47" s="6">
        <v>1.1825000000000001</v>
      </c>
      <c r="I47" s="4">
        <v>34274.095448461201</v>
      </c>
      <c r="J47" s="6">
        <v>0.86470000000000002</v>
      </c>
      <c r="K47" s="4">
        <v>29236.223731967999</v>
      </c>
      <c r="L47" s="6">
        <v>0.78979999999999995</v>
      </c>
      <c r="M47" s="4">
        <v>27449.395614378001</v>
      </c>
      <c r="O47" s="2" t="s">
        <v>45</v>
      </c>
      <c r="P47" s="6">
        <f t="shared" si="12"/>
        <v>1.2598</v>
      </c>
      <c r="Q47" s="6">
        <v>33.225700000000003</v>
      </c>
      <c r="R47" s="6">
        <f t="shared" si="0"/>
        <v>1.3389</v>
      </c>
      <c r="S47" s="6">
        <v>32.956899999999997</v>
      </c>
      <c r="T47" s="6">
        <f t="shared" si="1"/>
        <v>1.1825000000000001</v>
      </c>
      <c r="U47" s="6">
        <v>31.361799999999999</v>
      </c>
      <c r="V47" s="6">
        <f t="shared" si="2"/>
        <v>0.86470000000000002</v>
      </c>
      <c r="W47" s="6">
        <v>26.751999999999999</v>
      </c>
      <c r="X47" s="6">
        <f t="shared" si="3"/>
        <v>0.78979999999999995</v>
      </c>
      <c r="Y47" s="6">
        <v>25.117000000000001</v>
      </c>
      <c r="AA47" s="2" t="s">
        <v>45</v>
      </c>
      <c r="AB47" s="6">
        <f t="shared" si="13"/>
        <v>6.2787744086362807</v>
      </c>
      <c r="AC47" s="6">
        <f t="shared" si="14"/>
        <v>-0.80901230071906127</v>
      </c>
      <c r="AD47" s="6">
        <f t="shared" si="15"/>
        <v>-6.1358945864422765</v>
      </c>
      <c r="AE47" s="6">
        <f t="shared" si="16"/>
        <v>-5.6098140896956323</v>
      </c>
      <c r="AF47" s="6">
        <f t="shared" si="17"/>
        <v>-31.362120971582797</v>
      </c>
      <c r="AG47" s="6">
        <f t="shared" si="18"/>
        <v>-19.484013880821195</v>
      </c>
      <c r="AH47" s="6">
        <f t="shared" si="19"/>
        <v>-37.307509128433097</v>
      </c>
      <c r="AI47" s="6">
        <f t="shared" si="20"/>
        <v>-24.404903433185765</v>
      </c>
    </row>
    <row r="48" spans="1:35" ht="15" thickBot="1" x14ac:dyDescent="0.35">
      <c r="A48"/>
      <c r="B48" s="2" t="s">
        <v>46</v>
      </c>
      <c r="C48" s="28">
        <v>23022.909599999999</v>
      </c>
      <c r="D48" s="6">
        <v>0.42330000000000001</v>
      </c>
      <c r="E48" s="4">
        <v>2651.9629110047999</v>
      </c>
      <c r="F48" s="6">
        <v>0.17169999999999999</v>
      </c>
      <c r="G48" s="4">
        <v>1288.3159753968</v>
      </c>
      <c r="H48" s="6">
        <v>0.14419999999999999</v>
      </c>
      <c r="I48" s="4">
        <v>1179.3024984408</v>
      </c>
      <c r="J48" s="6">
        <v>0.12470000000000001</v>
      </c>
      <c r="K48" s="4">
        <v>1117.6011007128</v>
      </c>
      <c r="L48" s="6">
        <v>8.0100000000000005E-2</v>
      </c>
      <c r="M48" s="4">
        <v>814.57356455760009</v>
      </c>
      <c r="O48" s="2" t="s">
        <v>46</v>
      </c>
      <c r="P48" s="6">
        <f t="shared" si="12"/>
        <v>0.42330000000000001</v>
      </c>
      <c r="Q48" s="6">
        <v>11.518800000000001</v>
      </c>
      <c r="R48" s="6">
        <f t="shared" si="0"/>
        <v>0.17169999999999999</v>
      </c>
      <c r="S48" s="6">
        <v>5.5957999999999997</v>
      </c>
      <c r="T48" s="6">
        <f t="shared" si="1"/>
        <v>0.14419999999999999</v>
      </c>
      <c r="U48" s="6">
        <v>5.1223000000000001</v>
      </c>
      <c r="V48" s="6">
        <f t="shared" si="2"/>
        <v>0.12470000000000001</v>
      </c>
      <c r="W48" s="6">
        <v>4.8543000000000003</v>
      </c>
      <c r="X48" s="6">
        <f t="shared" si="3"/>
        <v>8.0100000000000005E-2</v>
      </c>
      <c r="Y48" s="6">
        <v>3.5381</v>
      </c>
      <c r="AA48" s="2" t="s">
        <v>46</v>
      </c>
      <c r="AB48" s="6">
        <f t="shared" si="13"/>
        <v>-59.437751004016071</v>
      </c>
      <c r="AC48" s="6">
        <f t="shared" si="14"/>
        <v>-51.42028683543424</v>
      </c>
      <c r="AD48" s="6">
        <f t="shared" si="15"/>
        <v>-65.934325537443897</v>
      </c>
      <c r="AE48" s="6">
        <f t="shared" si="16"/>
        <v>-55.530958085911728</v>
      </c>
      <c r="AF48" s="6">
        <f t="shared" si="17"/>
        <v>-70.540987479329075</v>
      </c>
      <c r="AG48" s="6">
        <f t="shared" si="18"/>
        <v>-57.857589332222105</v>
      </c>
      <c r="AH48" s="6">
        <f t="shared" si="19"/>
        <v>-81.077250177179309</v>
      </c>
      <c r="AI48" s="6">
        <f t="shared" si="20"/>
        <v>-69.284126818765841</v>
      </c>
    </row>
    <row r="49" spans="1:35" ht="15" thickBot="1" x14ac:dyDescent="0.35">
      <c r="A49"/>
      <c r="B49" s="2" t="s">
        <v>68</v>
      </c>
      <c r="C49" s="28">
        <v>623.24480000000005</v>
      </c>
      <c r="D49" s="6">
        <v>3.5733999999999999</v>
      </c>
      <c r="E49" s="4">
        <v>505.28637292799999</v>
      </c>
      <c r="F49" s="6">
        <v>2.2294999999999998</v>
      </c>
      <c r="G49" s="4">
        <v>437.23925917439999</v>
      </c>
      <c r="H49" s="6">
        <v>1.7968999999999999</v>
      </c>
      <c r="I49" s="4">
        <v>400.76011778560002</v>
      </c>
      <c r="J49" s="6">
        <v>1.5061</v>
      </c>
      <c r="K49" s="4">
        <v>389.35847741440006</v>
      </c>
      <c r="L49" s="6">
        <v>1.0034000000000001</v>
      </c>
      <c r="M49" s="4">
        <v>340.79586584320003</v>
      </c>
      <c r="O49" s="2" t="s">
        <v>68</v>
      </c>
      <c r="P49" s="6">
        <f t="shared" si="12"/>
        <v>3.5733999999999999</v>
      </c>
      <c r="Q49" s="6">
        <v>81.073499999999996</v>
      </c>
      <c r="R49" s="6">
        <f t="shared" si="0"/>
        <v>2.2294999999999998</v>
      </c>
      <c r="S49" s="6">
        <v>70.155299999999997</v>
      </c>
      <c r="T49" s="6">
        <f t="shared" si="1"/>
        <v>1.7968999999999999</v>
      </c>
      <c r="U49" s="6">
        <v>64.302199999999999</v>
      </c>
      <c r="V49" s="6">
        <f t="shared" si="2"/>
        <v>1.5061</v>
      </c>
      <c r="W49" s="6">
        <v>62.472799999999999</v>
      </c>
      <c r="X49" s="6">
        <f t="shared" si="3"/>
        <v>1.0034000000000001</v>
      </c>
      <c r="Y49" s="6">
        <v>54.680900000000001</v>
      </c>
      <c r="AA49" s="2" t="s">
        <v>68</v>
      </c>
      <c r="AB49" s="6">
        <f t="shared" si="13"/>
        <v>-37.608440141042145</v>
      </c>
      <c r="AC49" s="6">
        <f t="shared" si="14"/>
        <v>-13.467039168162216</v>
      </c>
      <c r="AD49" s="6">
        <f t="shared" si="15"/>
        <v>-49.714557564224549</v>
      </c>
      <c r="AE49" s="6">
        <f t="shared" si="16"/>
        <v>-20.686537524591884</v>
      </c>
      <c r="AF49" s="6">
        <f t="shared" si="17"/>
        <v>-57.852465439077626</v>
      </c>
      <c r="AG49" s="6">
        <f t="shared" si="18"/>
        <v>-22.943008504628509</v>
      </c>
      <c r="AH49" s="6">
        <f t="shared" si="19"/>
        <v>-71.920299994403081</v>
      </c>
      <c r="AI49" s="6">
        <f t="shared" si="20"/>
        <v>-32.553917124584473</v>
      </c>
    </row>
    <row r="50" spans="1:35" ht="15" thickBot="1" x14ac:dyDescent="0.35">
      <c r="A50"/>
      <c r="B50" s="2" t="s">
        <v>47</v>
      </c>
      <c r="C50" s="28">
        <v>36467.628599999996</v>
      </c>
      <c r="D50" s="6">
        <v>7.5399999999999995E-2</v>
      </c>
      <c r="E50" s="4">
        <v>1279.2114760307998</v>
      </c>
      <c r="F50" s="6">
        <v>3.04E-2</v>
      </c>
      <c r="G50" s="4">
        <v>686.94071993819989</v>
      </c>
      <c r="H50" s="6">
        <v>2.46E-2</v>
      </c>
      <c r="I50" s="4">
        <v>569.0408766743999</v>
      </c>
      <c r="J50" s="6">
        <v>1.6799999999999999E-2</v>
      </c>
      <c r="K50" s="4">
        <v>415.54862789699996</v>
      </c>
      <c r="L50" s="6">
        <v>1.01E-2</v>
      </c>
      <c r="M50" s="4">
        <v>327.80751348539997</v>
      </c>
      <c r="O50" s="2" t="s">
        <v>47</v>
      </c>
      <c r="P50" s="6">
        <f t="shared" si="12"/>
        <v>7.5399999999999995E-2</v>
      </c>
      <c r="Q50" s="6">
        <v>3.5078</v>
      </c>
      <c r="R50" s="6">
        <f t="shared" si="0"/>
        <v>3.04E-2</v>
      </c>
      <c r="S50" s="6">
        <v>1.8836999999999999</v>
      </c>
      <c r="T50" s="6">
        <f t="shared" si="1"/>
        <v>2.46E-2</v>
      </c>
      <c r="U50" s="6">
        <v>1.5604</v>
      </c>
      <c r="V50" s="6">
        <f t="shared" si="2"/>
        <v>1.6799999999999999E-2</v>
      </c>
      <c r="W50" s="6">
        <v>1.1395</v>
      </c>
      <c r="X50" s="6">
        <f t="shared" si="3"/>
        <v>1.01E-2</v>
      </c>
      <c r="Y50" s="6">
        <v>0.89890000000000003</v>
      </c>
      <c r="AA50" s="2" t="s">
        <v>47</v>
      </c>
      <c r="AB50" s="6">
        <f t="shared" si="13"/>
        <v>-59.681697612732094</v>
      </c>
      <c r="AC50" s="6">
        <f t="shared" si="14"/>
        <v>-46.299675009977761</v>
      </c>
      <c r="AD50" s="6">
        <f t="shared" si="15"/>
        <v>-67.374005305039788</v>
      </c>
      <c r="AE50" s="6">
        <f t="shared" si="16"/>
        <v>-55.516278009008495</v>
      </c>
      <c r="AF50" s="6">
        <f t="shared" si="17"/>
        <v>-77.718832891246677</v>
      </c>
      <c r="AG50" s="6">
        <f t="shared" si="18"/>
        <v>-67.515251724727747</v>
      </c>
      <c r="AH50" s="6">
        <f t="shared" si="19"/>
        <v>-86.604774535809014</v>
      </c>
      <c r="AI50" s="6">
        <f t="shared" si="20"/>
        <v>-74.374251667711945</v>
      </c>
    </row>
    <row r="51" spans="1:35" ht="15" thickBot="1" x14ac:dyDescent="0.35">
      <c r="A51"/>
      <c r="B51" s="2" t="s">
        <v>48</v>
      </c>
      <c r="C51" s="28">
        <v>49793.859400000001</v>
      </c>
      <c r="D51" s="6">
        <v>3.1158999999999999</v>
      </c>
      <c r="E51" s="4">
        <v>43937.354626668995</v>
      </c>
      <c r="F51" s="6">
        <v>2.6021000000000001</v>
      </c>
      <c r="G51" s="4">
        <v>37431.836689918397</v>
      </c>
      <c r="H51" s="6">
        <v>2.2033999999999998</v>
      </c>
      <c r="I51" s="4">
        <v>35468.564401495198</v>
      </c>
      <c r="J51" s="6">
        <v>1.4902</v>
      </c>
      <c r="K51" s="4">
        <v>31384.870404382404</v>
      </c>
      <c r="L51" s="6">
        <v>1.2626999999999999</v>
      </c>
      <c r="M51" s="4">
        <v>28307.161748727802</v>
      </c>
      <c r="O51" s="2" t="s">
        <v>48</v>
      </c>
      <c r="P51" s="6">
        <f t="shared" si="12"/>
        <v>3.1158999999999999</v>
      </c>
      <c r="Q51" s="6">
        <v>88.238500000000002</v>
      </c>
      <c r="R51" s="6">
        <f t="shared" si="0"/>
        <v>2.6021000000000001</v>
      </c>
      <c r="S51" s="6">
        <v>75.173599999999993</v>
      </c>
      <c r="T51" s="6">
        <f t="shared" si="1"/>
        <v>2.2033999999999998</v>
      </c>
      <c r="U51" s="6">
        <v>71.230800000000002</v>
      </c>
      <c r="V51" s="6">
        <f t="shared" si="2"/>
        <v>1.4902</v>
      </c>
      <c r="W51" s="6">
        <v>63.029600000000002</v>
      </c>
      <c r="X51" s="6">
        <f t="shared" si="3"/>
        <v>1.2626999999999999</v>
      </c>
      <c r="Y51" s="6">
        <v>56.848700000000001</v>
      </c>
      <c r="AA51" s="2" t="s">
        <v>48</v>
      </c>
      <c r="AB51" s="6">
        <f t="shared" si="13"/>
        <v>-16.4896177669373</v>
      </c>
      <c r="AC51" s="6">
        <f t="shared" si="14"/>
        <v>-14.806348702663811</v>
      </c>
      <c r="AD51" s="6">
        <f t="shared" si="15"/>
        <v>-29.285278731666622</v>
      </c>
      <c r="AE51" s="6">
        <f t="shared" si="16"/>
        <v>-19.274693019486961</v>
      </c>
      <c r="AF51" s="6">
        <f t="shared" si="17"/>
        <v>-52.174331653775788</v>
      </c>
      <c r="AG51" s="6">
        <f t="shared" si="18"/>
        <v>-28.569048657898747</v>
      </c>
      <c r="AH51" s="6">
        <f t="shared" si="19"/>
        <v>-59.475592926602268</v>
      </c>
      <c r="AI51" s="6">
        <f t="shared" si="20"/>
        <v>-35.573814151419157</v>
      </c>
    </row>
    <row r="52" spans="1:35" ht="15" thickBot="1" x14ac:dyDescent="0.35">
      <c r="A52"/>
      <c r="B52" s="2" t="s">
        <v>49</v>
      </c>
      <c r="C52" s="28">
        <v>69887.863500000007</v>
      </c>
      <c r="D52" s="6">
        <v>1.5669</v>
      </c>
      <c r="E52" s="4">
        <v>26496.585688755</v>
      </c>
      <c r="F52" s="6">
        <v>1.1654</v>
      </c>
      <c r="G52" s="4">
        <v>26635.802312847005</v>
      </c>
      <c r="H52" s="6">
        <v>0.95660000000000001</v>
      </c>
      <c r="I52" s="4">
        <v>23685.695818785</v>
      </c>
      <c r="J52" s="6">
        <v>0.62539999999999996</v>
      </c>
      <c r="K52" s="4">
        <v>19805.731300855503</v>
      </c>
      <c r="L52" s="6">
        <v>0.47889999999999999</v>
      </c>
      <c r="M52" s="4">
        <v>16132.704746749501</v>
      </c>
      <c r="O52" s="2" t="s">
        <v>49</v>
      </c>
      <c r="P52" s="6">
        <f t="shared" si="12"/>
        <v>1.5669</v>
      </c>
      <c r="Q52" s="6">
        <v>37.912999999999997</v>
      </c>
      <c r="R52" s="6">
        <f t="shared" si="0"/>
        <v>1.1654</v>
      </c>
      <c r="S52" s="6">
        <v>38.112200000000001</v>
      </c>
      <c r="T52" s="6">
        <f t="shared" si="1"/>
        <v>0.95660000000000001</v>
      </c>
      <c r="U52" s="6">
        <v>33.890999999999998</v>
      </c>
      <c r="V52" s="6">
        <f t="shared" si="2"/>
        <v>0.62539999999999996</v>
      </c>
      <c r="W52" s="6">
        <v>28.339300000000001</v>
      </c>
      <c r="X52" s="6">
        <f t="shared" si="3"/>
        <v>0.47889999999999999</v>
      </c>
      <c r="Y52" s="6">
        <v>23.0837</v>
      </c>
      <c r="AA52" s="2" t="s">
        <v>49</v>
      </c>
      <c r="AB52" s="6">
        <f t="shared" si="13"/>
        <v>-25.623843257387207</v>
      </c>
      <c r="AC52" s="6">
        <f t="shared" si="14"/>
        <v>0.52541344657507238</v>
      </c>
      <c r="AD52" s="6">
        <f t="shared" si="15"/>
        <v>-38.949518156870255</v>
      </c>
      <c r="AE52" s="6">
        <f t="shared" si="16"/>
        <v>-10.608498404241288</v>
      </c>
      <c r="AF52" s="6">
        <f t="shared" si="17"/>
        <v>-60.086795583636487</v>
      </c>
      <c r="AG52" s="6">
        <f t="shared" si="18"/>
        <v>-25.251760609817197</v>
      </c>
      <c r="AH52" s="6">
        <f t="shared" si="19"/>
        <v>-69.436466909183736</v>
      </c>
      <c r="AI52" s="6">
        <f t="shared" si="20"/>
        <v>-39.114024213330516</v>
      </c>
    </row>
    <row r="53" spans="1:35" ht="15" thickBot="1" x14ac:dyDescent="0.35">
      <c r="A53"/>
      <c r="B53" s="2" t="s">
        <v>50</v>
      </c>
      <c r="C53" s="28">
        <v>1105469.6749</v>
      </c>
      <c r="D53" s="6">
        <v>1.2887</v>
      </c>
      <c r="E53" s="4">
        <v>403612.50565436453</v>
      </c>
      <c r="F53" s="6">
        <v>0.72470000000000001</v>
      </c>
      <c r="G53" s="4">
        <v>308595.17615735967</v>
      </c>
      <c r="H53" s="6">
        <v>0.48470000000000002</v>
      </c>
      <c r="I53" s="4">
        <v>246967.45272103447</v>
      </c>
      <c r="J53" s="6">
        <v>0.25979999999999998</v>
      </c>
      <c r="K53" s="4">
        <v>158654.79680229819</v>
      </c>
      <c r="L53" s="6">
        <v>0.18149999999999999</v>
      </c>
      <c r="M53" s="4">
        <v>106790.5815346898</v>
      </c>
      <c r="O53" s="2" t="s">
        <v>50</v>
      </c>
      <c r="P53" s="6">
        <f t="shared" si="12"/>
        <v>1.2887</v>
      </c>
      <c r="Q53" s="6">
        <v>36.5105</v>
      </c>
      <c r="R53" s="6">
        <f t="shared" si="0"/>
        <v>0.72470000000000001</v>
      </c>
      <c r="S53" s="6">
        <v>27.915299999999998</v>
      </c>
      <c r="T53" s="6">
        <f t="shared" si="1"/>
        <v>0.48470000000000002</v>
      </c>
      <c r="U53" s="6">
        <v>22.340499999999999</v>
      </c>
      <c r="V53" s="6">
        <f t="shared" si="2"/>
        <v>0.25979999999999998</v>
      </c>
      <c r="W53" s="6">
        <v>14.351800000000001</v>
      </c>
      <c r="X53" s="6">
        <f t="shared" si="3"/>
        <v>0.18149999999999999</v>
      </c>
      <c r="Y53" s="6">
        <v>9.6601999999999997</v>
      </c>
      <c r="AA53" s="2" t="s">
        <v>50</v>
      </c>
      <c r="AB53" s="6">
        <f t="shared" si="13"/>
        <v>-43.765034530922634</v>
      </c>
      <c r="AC53" s="6">
        <f t="shared" si="14"/>
        <v>-23.541720874816846</v>
      </c>
      <c r="AD53" s="6">
        <f t="shared" si="15"/>
        <v>-62.388453480251414</v>
      </c>
      <c r="AE53" s="6">
        <f t="shared" si="16"/>
        <v>-38.81075307103437</v>
      </c>
      <c r="AF53" s="6">
        <f t="shared" si="17"/>
        <v>-79.840148987351597</v>
      </c>
      <c r="AG53" s="6">
        <f t="shared" si="18"/>
        <v>-60.691307979896195</v>
      </c>
      <c r="AH53" s="6">
        <f t="shared" si="19"/>
        <v>-85.916039419570112</v>
      </c>
      <c r="AI53" s="6">
        <f t="shared" si="20"/>
        <v>-73.54131003409978</v>
      </c>
    </row>
    <row r="54" spans="1:35" ht="15" thickBot="1" x14ac:dyDescent="0.35">
      <c r="A54"/>
      <c r="B54" s="2" t="s">
        <v>51</v>
      </c>
      <c r="C54" s="28">
        <v>414666.94679999998</v>
      </c>
      <c r="D54" s="6">
        <v>3.8058000000000001</v>
      </c>
      <c r="E54" s="4">
        <v>253276.08310375919</v>
      </c>
      <c r="F54" s="6">
        <v>1.1456999999999999</v>
      </c>
      <c r="G54" s="4">
        <v>174160.53232294679</v>
      </c>
      <c r="H54" s="6">
        <v>0.74609999999999999</v>
      </c>
      <c r="I54" s="4">
        <v>130987.89782381158</v>
      </c>
      <c r="J54" s="6">
        <v>0.56369999999999998</v>
      </c>
      <c r="K54" s="4">
        <v>94727.761327832399</v>
      </c>
      <c r="L54" s="6">
        <v>0.34570000000000001</v>
      </c>
      <c r="M54" s="4">
        <v>53064.929181995998</v>
      </c>
      <c r="O54" s="2" t="s">
        <v>51</v>
      </c>
      <c r="P54" s="6">
        <f t="shared" si="12"/>
        <v>3.8058000000000001</v>
      </c>
      <c r="Q54" s="6">
        <v>61.0794</v>
      </c>
      <c r="R54" s="6">
        <f t="shared" si="0"/>
        <v>1.1456999999999999</v>
      </c>
      <c r="S54" s="6">
        <v>42.000100000000003</v>
      </c>
      <c r="T54" s="6">
        <f t="shared" si="1"/>
        <v>0.74609999999999999</v>
      </c>
      <c r="U54" s="6">
        <v>31.588699999999999</v>
      </c>
      <c r="V54" s="6">
        <f t="shared" si="2"/>
        <v>0.56369999999999998</v>
      </c>
      <c r="W54" s="6">
        <v>22.8443</v>
      </c>
      <c r="X54" s="6">
        <f t="shared" si="3"/>
        <v>0.34570000000000001</v>
      </c>
      <c r="Y54" s="6">
        <v>12.797000000000001</v>
      </c>
      <c r="AA54" s="2" t="s">
        <v>51</v>
      </c>
      <c r="AB54" s="6">
        <f t="shared" si="13"/>
        <v>-69.895948289452946</v>
      </c>
      <c r="AC54" s="6">
        <f t="shared" si="14"/>
        <v>-31.236881829225567</v>
      </c>
      <c r="AD54" s="6">
        <f t="shared" si="15"/>
        <v>-80.395711808292603</v>
      </c>
      <c r="AE54" s="6">
        <f t="shared" si="16"/>
        <v>-48.282563351964825</v>
      </c>
      <c r="AF54" s="6">
        <f t="shared" si="17"/>
        <v>-85.188396657732937</v>
      </c>
      <c r="AG54" s="6">
        <f t="shared" si="18"/>
        <v>-62.599010468341206</v>
      </c>
      <c r="AH54" s="6">
        <f t="shared" si="19"/>
        <v>-90.91649587471754</v>
      </c>
      <c r="AI54" s="6">
        <f t="shared" si="20"/>
        <v>-79.048582664531736</v>
      </c>
    </row>
    <row r="55" spans="1:35" ht="15" thickBot="1" x14ac:dyDescent="0.35">
      <c r="A55"/>
      <c r="B55" s="2" t="s">
        <v>52</v>
      </c>
      <c r="C55" s="28">
        <v>4.8175999999999997</v>
      </c>
      <c r="D55" s="6">
        <v>4.3076999999999996</v>
      </c>
      <c r="E55" s="4">
        <v>3.8414964287999998</v>
      </c>
      <c r="F55" s="6">
        <v>1.51</v>
      </c>
      <c r="G55" s="4">
        <v>1.7904947631999999</v>
      </c>
      <c r="H55" s="6">
        <v>1.083</v>
      </c>
      <c r="I55" s="4">
        <v>1.4651959583999998</v>
      </c>
      <c r="J55" s="6">
        <v>0.79869999999999997</v>
      </c>
      <c r="K55" s="4">
        <v>1.4651959583999998</v>
      </c>
      <c r="L55" s="6">
        <v>0.29749999999999999</v>
      </c>
      <c r="M55" s="4">
        <v>0.93609822080000005</v>
      </c>
      <c r="O55" s="2" t="s">
        <v>52</v>
      </c>
      <c r="P55" s="6">
        <f t="shared" si="12"/>
        <v>4.3076999999999996</v>
      </c>
      <c r="Q55" s="6">
        <v>79.738799999999998</v>
      </c>
      <c r="R55" s="6">
        <f t="shared" si="0"/>
        <v>1.51</v>
      </c>
      <c r="S55" s="6">
        <v>37.165700000000001</v>
      </c>
      <c r="T55" s="6">
        <f t="shared" si="1"/>
        <v>1.083</v>
      </c>
      <c r="U55" s="6">
        <v>30.413399999999999</v>
      </c>
      <c r="V55" s="6">
        <f t="shared" si="2"/>
        <v>0.79869999999999997</v>
      </c>
      <c r="W55" s="6">
        <v>30.413399999999999</v>
      </c>
      <c r="X55" s="6">
        <f t="shared" si="3"/>
        <v>0.29749999999999999</v>
      </c>
      <c r="Y55" s="6">
        <v>19.430800000000001</v>
      </c>
      <c r="AA55" s="2" t="s">
        <v>52</v>
      </c>
      <c r="AB55" s="6">
        <f t="shared" si="13"/>
        <v>-64.946491166980053</v>
      </c>
      <c r="AC55" s="6">
        <f t="shared" si="14"/>
        <v>-53.390695621203228</v>
      </c>
      <c r="AD55" s="6">
        <f t="shared" si="15"/>
        <v>-74.858973466118812</v>
      </c>
      <c r="AE55" s="6">
        <f t="shared" si="16"/>
        <v>-61.858718716609729</v>
      </c>
      <c r="AF55" s="6">
        <f t="shared" si="17"/>
        <v>-81.458783109315874</v>
      </c>
      <c r="AG55" s="6">
        <f t="shared" si="18"/>
        <v>-61.858718716609729</v>
      </c>
      <c r="AH55" s="6">
        <f t="shared" si="19"/>
        <v>-93.093762332567266</v>
      </c>
      <c r="AI55" s="6">
        <f t="shared" si="20"/>
        <v>-75.631938278479225</v>
      </c>
    </row>
    <row r="56" spans="1:35" ht="15" thickBot="1" x14ac:dyDescent="0.35">
      <c r="A56"/>
      <c r="B56" s="2" t="s">
        <v>53</v>
      </c>
      <c r="C56" s="28">
        <v>156.69499999999999</v>
      </c>
      <c r="D56" s="6">
        <v>12.6724</v>
      </c>
      <c r="E56" s="4">
        <v>150.81016258</v>
      </c>
      <c r="F56" s="6">
        <v>4.4200999999999997</v>
      </c>
      <c r="G56" s="4">
        <v>135.308796315</v>
      </c>
      <c r="H56" s="6">
        <v>3.5686</v>
      </c>
      <c r="I56" s="4">
        <v>127.74559875000001</v>
      </c>
      <c r="J56" s="6">
        <v>3.2776999999999998</v>
      </c>
      <c r="K56" s="4">
        <v>122.67588871999999</v>
      </c>
      <c r="L56" s="6">
        <v>1.9298</v>
      </c>
      <c r="M56" s="4">
        <v>99.164430749999994</v>
      </c>
      <c r="O56" s="2" t="s">
        <v>53</v>
      </c>
      <c r="P56" s="6">
        <f t="shared" si="12"/>
        <v>12.6724</v>
      </c>
      <c r="Q56" s="6">
        <v>96.244399999999999</v>
      </c>
      <c r="R56" s="6">
        <f t="shared" si="0"/>
        <v>4.4200999999999997</v>
      </c>
      <c r="S56" s="6">
        <v>86.351699999999994</v>
      </c>
      <c r="T56" s="6">
        <f t="shared" si="1"/>
        <v>3.5686</v>
      </c>
      <c r="U56" s="6">
        <v>81.525000000000006</v>
      </c>
      <c r="V56" s="6">
        <f t="shared" si="2"/>
        <v>3.2776999999999998</v>
      </c>
      <c r="W56" s="6">
        <v>78.289599999999993</v>
      </c>
      <c r="X56" s="6">
        <f t="shared" si="3"/>
        <v>1.9298</v>
      </c>
      <c r="Y56" s="6">
        <v>63.284999999999997</v>
      </c>
      <c r="AA56" s="2" t="s">
        <v>53</v>
      </c>
      <c r="AB56" s="6">
        <f t="shared" si="13"/>
        <v>-65.120261355386504</v>
      </c>
      <c r="AC56" s="6">
        <f t="shared" si="14"/>
        <v>-10.278727905207987</v>
      </c>
      <c r="AD56" s="6">
        <f t="shared" si="15"/>
        <v>-71.839588396830905</v>
      </c>
      <c r="AE56" s="6">
        <f t="shared" si="16"/>
        <v>-15.293772936399407</v>
      </c>
      <c r="AF56" s="6">
        <f t="shared" si="17"/>
        <v>-74.135128310343731</v>
      </c>
      <c r="AG56" s="6">
        <f t="shared" si="18"/>
        <v>-18.655423068770759</v>
      </c>
      <c r="AH56" s="6">
        <f t="shared" si="19"/>
        <v>-84.771629683406459</v>
      </c>
      <c r="AI56" s="6">
        <f t="shared" si="20"/>
        <v>-34.245524934437753</v>
      </c>
    </row>
    <row r="57" spans="1:35" ht="15" thickBot="1" x14ac:dyDescent="0.35">
      <c r="A57"/>
      <c r="B57" s="2" t="s">
        <v>54</v>
      </c>
      <c r="C57" s="28">
        <v>634652.80420000001</v>
      </c>
      <c r="D57" s="6">
        <v>0.1235</v>
      </c>
      <c r="E57" s="4">
        <v>29861.683743218397</v>
      </c>
      <c r="F57" s="6">
        <v>0.11</v>
      </c>
      <c r="G57" s="4">
        <v>19304.2343453514</v>
      </c>
      <c r="H57" s="6">
        <v>5.2900000000000003E-2</v>
      </c>
      <c r="I57" s="4">
        <v>12217.066480850001</v>
      </c>
      <c r="J57" s="6">
        <v>1.7500000000000002E-2</v>
      </c>
      <c r="K57" s="4">
        <v>5671.2574583311998</v>
      </c>
      <c r="L57" s="6">
        <v>1.18E-2</v>
      </c>
      <c r="M57" s="4">
        <v>4004.659194502</v>
      </c>
      <c r="O57" s="2" t="s">
        <v>54</v>
      </c>
      <c r="P57" s="6">
        <f t="shared" si="12"/>
        <v>0.1235</v>
      </c>
      <c r="Q57" s="6">
        <v>4.7051999999999996</v>
      </c>
      <c r="R57" s="6">
        <f t="shared" si="0"/>
        <v>0.11</v>
      </c>
      <c r="S57" s="6">
        <v>3.0417000000000001</v>
      </c>
      <c r="T57" s="6">
        <f t="shared" si="1"/>
        <v>5.2900000000000003E-2</v>
      </c>
      <c r="U57" s="6">
        <v>1.925</v>
      </c>
      <c r="V57" s="6">
        <f t="shared" si="2"/>
        <v>1.7500000000000002E-2</v>
      </c>
      <c r="W57" s="6">
        <v>0.89359999999999995</v>
      </c>
      <c r="X57" s="6">
        <f t="shared" si="3"/>
        <v>1.18E-2</v>
      </c>
      <c r="Y57" s="6">
        <v>0.63100000000000001</v>
      </c>
      <c r="AA57" s="2" t="s">
        <v>54</v>
      </c>
      <c r="AB57" s="6">
        <f t="shared" si="13"/>
        <v>-10.931174089068818</v>
      </c>
      <c r="AC57" s="6">
        <f t="shared" si="14"/>
        <v>-35.354501402703391</v>
      </c>
      <c r="AD57" s="6">
        <f t="shared" si="15"/>
        <v>-57.165991902834008</v>
      </c>
      <c r="AE57" s="6">
        <f t="shared" si="16"/>
        <v>-59.087817733571363</v>
      </c>
      <c r="AF57" s="6">
        <f t="shared" si="17"/>
        <v>-85.829959514170042</v>
      </c>
      <c r="AG57" s="6">
        <f t="shared" si="18"/>
        <v>-81.008246195698376</v>
      </c>
      <c r="AH57" s="6">
        <f t="shared" si="19"/>
        <v>-90.445344129554655</v>
      </c>
      <c r="AI57" s="6">
        <f t="shared" si="20"/>
        <v>-86.589305449290151</v>
      </c>
    </row>
    <row r="58" spans="1:35" ht="15" thickBot="1" x14ac:dyDescent="0.35">
      <c r="A58"/>
      <c r="B58" s="2" t="s">
        <v>55</v>
      </c>
      <c r="C58" s="28">
        <v>698899.78350000002</v>
      </c>
      <c r="D58" s="6">
        <v>3.0966</v>
      </c>
      <c r="E58" s="4">
        <v>617700.90775318653</v>
      </c>
      <c r="F58" s="6">
        <v>2.2505000000000002</v>
      </c>
      <c r="G58" s="4">
        <v>544762.32854755956</v>
      </c>
      <c r="H58" s="6">
        <v>1.6838</v>
      </c>
      <c r="I58" s="4">
        <v>531926.33512379846</v>
      </c>
      <c r="J58" s="6">
        <v>1.4292</v>
      </c>
      <c r="K58" s="4">
        <v>525824.24111406005</v>
      </c>
      <c r="L58" s="6">
        <v>0.77190000000000003</v>
      </c>
      <c r="M58" s="4">
        <v>454980.96345936594</v>
      </c>
      <c r="O58" s="2" t="s">
        <v>55</v>
      </c>
      <c r="P58" s="6">
        <f t="shared" si="12"/>
        <v>3.0966</v>
      </c>
      <c r="Q58" s="6">
        <v>88.381900000000002</v>
      </c>
      <c r="R58" s="6">
        <f t="shared" si="0"/>
        <v>2.2505000000000002</v>
      </c>
      <c r="S58" s="6">
        <v>77.945700000000002</v>
      </c>
      <c r="T58" s="6">
        <f t="shared" si="1"/>
        <v>1.6838</v>
      </c>
      <c r="U58" s="6">
        <v>76.109099999999998</v>
      </c>
      <c r="V58" s="6">
        <f t="shared" si="2"/>
        <v>1.4292</v>
      </c>
      <c r="W58" s="6">
        <v>75.236000000000004</v>
      </c>
      <c r="X58" s="6">
        <f t="shared" si="3"/>
        <v>0.77190000000000003</v>
      </c>
      <c r="Y58" s="6">
        <v>65.099599999999995</v>
      </c>
      <c r="AA58" s="2" t="s">
        <v>55</v>
      </c>
      <c r="AB58" s="6">
        <f t="shared" si="13"/>
        <v>-27.323516114448097</v>
      </c>
      <c r="AC58" s="6">
        <f t="shared" si="14"/>
        <v>-11.808073825070522</v>
      </c>
      <c r="AD58" s="6">
        <f t="shared" si="15"/>
        <v>-45.624233029774594</v>
      </c>
      <c r="AE58" s="6">
        <f t="shared" si="16"/>
        <v>-13.886101113463283</v>
      </c>
      <c r="AF58" s="6">
        <f t="shared" si="17"/>
        <v>-53.84615384615384</v>
      </c>
      <c r="AG58" s="6">
        <f t="shared" si="18"/>
        <v>-14.873973064620685</v>
      </c>
      <c r="AH58" s="6">
        <f t="shared" si="19"/>
        <v>-75.072660337143958</v>
      </c>
      <c r="AI58" s="6">
        <f t="shared" si="20"/>
        <v>-26.342837164623077</v>
      </c>
    </row>
    <row r="59" spans="1:35" ht="15" thickBot="1" x14ac:dyDescent="0.35">
      <c r="A59"/>
      <c r="B59" s="2" t="s">
        <v>56</v>
      </c>
      <c r="C59" s="28">
        <v>271159.234</v>
      </c>
      <c r="D59" s="6">
        <v>1.2125999999999999</v>
      </c>
      <c r="E59" s="4">
        <v>95295.658878491988</v>
      </c>
      <c r="F59" s="6">
        <v>0.28360000000000002</v>
      </c>
      <c r="G59" s="4">
        <v>42868.376780762002</v>
      </c>
      <c r="H59" s="6">
        <v>0.1585</v>
      </c>
      <c r="I59" s="4">
        <v>28140.905304519998</v>
      </c>
      <c r="J59" s="6">
        <v>8.9300000000000004E-2</v>
      </c>
      <c r="K59" s="4">
        <v>16216.406830136</v>
      </c>
      <c r="L59" s="6">
        <v>4.7800000000000002E-2</v>
      </c>
      <c r="M59" s="4">
        <v>6373.3266359360005</v>
      </c>
      <c r="O59" s="2" t="s">
        <v>56</v>
      </c>
      <c r="P59" s="6">
        <f t="shared" si="12"/>
        <v>1.2125999999999999</v>
      </c>
      <c r="Q59" s="6">
        <v>35.143799999999999</v>
      </c>
      <c r="R59" s="6">
        <f t="shared" si="0"/>
        <v>0.28360000000000002</v>
      </c>
      <c r="S59" s="6">
        <v>15.8093</v>
      </c>
      <c r="T59" s="6">
        <f t="shared" si="1"/>
        <v>0.1585</v>
      </c>
      <c r="U59" s="6">
        <v>10.378</v>
      </c>
      <c r="V59" s="6">
        <f t="shared" si="2"/>
        <v>8.9300000000000004E-2</v>
      </c>
      <c r="W59" s="6">
        <v>5.9804000000000004</v>
      </c>
      <c r="X59" s="6">
        <f t="shared" si="3"/>
        <v>4.7800000000000002E-2</v>
      </c>
      <c r="Y59" s="6">
        <v>2.3504</v>
      </c>
      <c r="AA59" s="2" t="s">
        <v>56</v>
      </c>
      <c r="AB59" s="6">
        <f t="shared" si="13"/>
        <v>-76.612238165924452</v>
      </c>
      <c r="AC59" s="6">
        <f t="shared" si="14"/>
        <v>-55.015393895936114</v>
      </c>
      <c r="AD59" s="6">
        <f t="shared" si="15"/>
        <v>-86.928913079333668</v>
      </c>
      <c r="AE59" s="6">
        <f t="shared" si="16"/>
        <v>-70.469897962087188</v>
      </c>
      <c r="AF59" s="6">
        <f t="shared" si="17"/>
        <v>-92.63565891472868</v>
      </c>
      <c r="AG59" s="6">
        <f t="shared" si="18"/>
        <v>-82.983058178113922</v>
      </c>
      <c r="AH59" s="6">
        <f t="shared" si="19"/>
        <v>-96.05805706745835</v>
      </c>
      <c r="AI59" s="6">
        <f t="shared" si="20"/>
        <v>-93.312049351521466</v>
      </c>
    </row>
    <row r="60" spans="1:35" ht="15" thickBot="1" x14ac:dyDescent="0.35">
      <c r="A60"/>
      <c r="B60" s="2" t="s">
        <v>57</v>
      </c>
      <c r="C60" s="28">
        <v>53609.152900000001</v>
      </c>
      <c r="D60" s="6">
        <v>4.2377000000000002</v>
      </c>
      <c r="E60" s="4">
        <v>40387.527520273004</v>
      </c>
      <c r="F60" s="6">
        <v>1.2775000000000001</v>
      </c>
      <c r="G60" s="4">
        <v>27169.869217860596</v>
      </c>
      <c r="H60" s="6">
        <v>0.75739999999999996</v>
      </c>
      <c r="I60" s="4">
        <v>18959.895496990102</v>
      </c>
      <c r="J60" s="6">
        <v>0.46360000000000001</v>
      </c>
      <c r="K60" s="4">
        <v>12137.862744700602</v>
      </c>
      <c r="L60" s="6">
        <v>0.23469999999999999</v>
      </c>
      <c r="M60" s="4">
        <v>5045.2645977247994</v>
      </c>
      <c r="O60" s="2" t="s">
        <v>57</v>
      </c>
      <c r="P60" s="6">
        <f t="shared" si="12"/>
        <v>4.2377000000000002</v>
      </c>
      <c r="Q60" s="6">
        <v>75.337000000000003</v>
      </c>
      <c r="R60" s="6">
        <f t="shared" si="0"/>
        <v>1.2775000000000001</v>
      </c>
      <c r="S60" s="6">
        <v>50.681399999999996</v>
      </c>
      <c r="T60" s="6">
        <f t="shared" si="1"/>
        <v>0.75739999999999996</v>
      </c>
      <c r="U60" s="6">
        <v>35.366900000000001</v>
      </c>
      <c r="V60" s="6">
        <f t="shared" si="2"/>
        <v>0.46360000000000001</v>
      </c>
      <c r="W60" s="6">
        <v>22.641400000000001</v>
      </c>
      <c r="X60" s="6">
        <f t="shared" si="3"/>
        <v>0.23469999999999999</v>
      </c>
      <c r="Y60" s="6">
        <v>9.4111999999999991</v>
      </c>
      <c r="AA60" s="2" t="s">
        <v>57</v>
      </c>
      <c r="AB60" s="6">
        <f t="shared" si="13"/>
        <v>-69.853930197984752</v>
      </c>
      <c r="AC60" s="6">
        <f t="shared" si="14"/>
        <v>-32.727079655415025</v>
      </c>
      <c r="AD60" s="6">
        <f t="shared" si="15"/>
        <v>-82.127097246147684</v>
      </c>
      <c r="AE60" s="6">
        <f t="shared" si="16"/>
        <v>-53.055072540717042</v>
      </c>
      <c r="AF60" s="6">
        <f t="shared" si="17"/>
        <v>-89.060103357953608</v>
      </c>
      <c r="AG60" s="6">
        <f t="shared" si="18"/>
        <v>-69.946507028418978</v>
      </c>
      <c r="AH60" s="6">
        <f t="shared" si="19"/>
        <v>-94.461618330698258</v>
      </c>
      <c r="AI60" s="6">
        <f t="shared" si="20"/>
        <v>-87.507864661454533</v>
      </c>
    </row>
    <row r="61" spans="1:35" ht="15" thickBot="1" x14ac:dyDescent="0.35">
      <c r="A61"/>
      <c r="B61" s="2" t="s">
        <v>58</v>
      </c>
      <c r="C61" s="28">
        <v>899.10879999999997</v>
      </c>
      <c r="D61" s="6">
        <v>0.94289999999999996</v>
      </c>
      <c r="E61" s="4">
        <v>219.76107200480001</v>
      </c>
      <c r="F61" s="6">
        <v>1.0187999999999999</v>
      </c>
      <c r="G61" s="4">
        <v>288.0501835824</v>
      </c>
      <c r="H61" s="6">
        <v>0.68159999999999998</v>
      </c>
      <c r="I61" s="4">
        <v>236.0664100928</v>
      </c>
      <c r="J61" s="6">
        <v>0.28860000000000002</v>
      </c>
      <c r="K61" s="4">
        <v>99.515160201599997</v>
      </c>
      <c r="L61" s="6">
        <v>0.21210000000000001</v>
      </c>
      <c r="M61" s="4">
        <v>85.499852227199995</v>
      </c>
      <c r="O61" s="2" t="s">
        <v>58</v>
      </c>
      <c r="P61" s="6">
        <f t="shared" si="12"/>
        <v>0.94289999999999996</v>
      </c>
      <c r="Q61" s="6">
        <v>24.4421</v>
      </c>
      <c r="R61" s="6">
        <f t="shared" si="0"/>
        <v>1.0187999999999999</v>
      </c>
      <c r="S61" s="6">
        <v>32.037300000000002</v>
      </c>
      <c r="T61" s="6">
        <f t="shared" si="1"/>
        <v>0.68159999999999998</v>
      </c>
      <c r="U61" s="6">
        <v>26.255600000000001</v>
      </c>
      <c r="V61" s="6">
        <f t="shared" si="2"/>
        <v>0.28860000000000002</v>
      </c>
      <c r="W61" s="6">
        <v>11.068199999999999</v>
      </c>
      <c r="X61" s="6">
        <f t="shared" si="3"/>
        <v>0.21210000000000001</v>
      </c>
      <c r="Y61" s="6">
        <v>9.5093999999999994</v>
      </c>
      <c r="AA61" s="2" t="s">
        <v>58</v>
      </c>
      <c r="AB61" s="6">
        <f t="shared" si="13"/>
        <v>8.0496341075405695</v>
      </c>
      <c r="AC61" s="6">
        <f t="shared" si="14"/>
        <v>31.074253030631553</v>
      </c>
      <c r="AD61" s="6">
        <f t="shared" si="15"/>
        <v>-27.712376710149542</v>
      </c>
      <c r="AE61" s="6">
        <f t="shared" si="16"/>
        <v>7.4195752410799258</v>
      </c>
      <c r="AF61" s="6">
        <f t="shared" si="17"/>
        <v>-69.392300349984083</v>
      </c>
      <c r="AG61" s="6">
        <f t="shared" si="18"/>
        <v>-54.71665691573147</v>
      </c>
      <c r="AH61" s="6">
        <f t="shared" si="19"/>
        <v>-77.505567928730514</v>
      </c>
      <c r="AI61" s="6">
        <f t="shared" si="20"/>
        <v>-61.094177668858251</v>
      </c>
    </row>
    <row r="62" spans="1:35" ht="15" thickBot="1" x14ac:dyDescent="0.35">
      <c r="A62"/>
      <c r="B62" s="2" t="s">
        <v>59</v>
      </c>
      <c r="C62" s="28">
        <v>6126.7235000000001</v>
      </c>
      <c r="D62" s="6">
        <v>3.3012999999999999</v>
      </c>
      <c r="E62" s="4">
        <v>5276.9163169324993</v>
      </c>
      <c r="F62" s="6">
        <v>3.0192000000000001</v>
      </c>
      <c r="G62" s="4">
        <v>5346.6874441505006</v>
      </c>
      <c r="H62" s="6">
        <v>2.1446000000000001</v>
      </c>
      <c r="I62" s="4">
        <v>5152.3110143895001</v>
      </c>
      <c r="J62" s="6">
        <v>1.8529</v>
      </c>
      <c r="K62" s="4">
        <v>5044.731876453</v>
      </c>
      <c r="L62" s="6">
        <v>0.90129999999999999</v>
      </c>
      <c r="M62" s="4">
        <v>2767.3184704800001</v>
      </c>
      <c r="O62" s="2" t="s">
        <v>59</v>
      </c>
      <c r="P62" s="6">
        <f t="shared" si="12"/>
        <v>3.3012999999999999</v>
      </c>
      <c r="Q62" s="6">
        <v>86.129499999999993</v>
      </c>
      <c r="R62" s="6">
        <f t="shared" si="0"/>
        <v>3.0192000000000001</v>
      </c>
      <c r="S62" s="6">
        <v>87.268299999999996</v>
      </c>
      <c r="T62" s="6">
        <f t="shared" si="1"/>
        <v>2.1446000000000001</v>
      </c>
      <c r="U62" s="6">
        <v>84.095699999999994</v>
      </c>
      <c r="V62" s="6">
        <f t="shared" si="2"/>
        <v>1.8529</v>
      </c>
      <c r="W62" s="6">
        <v>82.339799999999997</v>
      </c>
      <c r="X62" s="6">
        <f t="shared" si="3"/>
        <v>0.90129999999999999</v>
      </c>
      <c r="Y62" s="6">
        <v>45.167999999999999</v>
      </c>
      <c r="AA62" s="2" t="s">
        <v>59</v>
      </c>
      <c r="AB62" s="6">
        <f t="shared" si="13"/>
        <v>-8.5451185896464921</v>
      </c>
      <c r="AC62" s="6">
        <f t="shared" si="14"/>
        <v>1.3221950667309272</v>
      </c>
      <c r="AD62" s="6">
        <f t="shared" si="15"/>
        <v>-35.037712416320844</v>
      </c>
      <c r="AE62" s="6">
        <f t="shared" si="16"/>
        <v>-2.3613280002786325</v>
      </c>
      <c r="AF62" s="6">
        <f t="shared" si="17"/>
        <v>-43.873625541453364</v>
      </c>
      <c r="AG62" s="6">
        <f t="shared" si="18"/>
        <v>-4.4000023220847595</v>
      </c>
      <c r="AH62" s="6">
        <f t="shared" si="19"/>
        <v>-72.698633871505166</v>
      </c>
      <c r="AI62" s="6">
        <f t="shared" si="20"/>
        <v>-47.558037606162799</v>
      </c>
    </row>
    <row r="63" spans="1:35" ht="15" thickBot="1" x14ac:dyDescent="0.35">
      <c r="A63"/>
      <c r="B63" s="2" t="s">
        <v>60</v>
      </c>
      <c r="C63" s="28">
        <v>10046.9408</v>
      </c>
      <c r="D63" s="6">
        <v>5.0103999999999997</v>
      </c>
      <c r="E63" s="4">
        <v>8798.7892505344007</v>
      </c>
      <c r="F63" s="6">
        <v>2.4571999999999998</v>
      </c>
      <c r="G63" s="4">
        <v>7595.8388877279995</v>
      </c>
      <c r="H63" s="6">
        <v>2.0893000000000002</v>
      </c>
      <c r="I63" s="4">
        <v>7010.654820832</v>
      </c>
      <c r="J63" s="6">
        <v>1.6274999999999999</v>
      </c>
      <c r="K63" s="4">
        <v>5350.8097782047998</v>
      </c>
      <c r="L63" s="6">
        <v>1.1936</v>
      </c>
      <c r="M63" s="4">
        <v>4285.9646636351999</v>
      </c>
      <c r="O63" s="2" t="s">
        <v>60</v>
      </c>
      <c r="P63" s="6">
        <f t="shared" si="12"/>
        <v>5.0103999999999997</v>
      </c>
      <c r="Q63" s="6">
        <v>87.576800000000006</v>
      </c>
      <c r="R63" s="6">
        <f t="shared" si="0"/>
        <v>2.4571999999999998</v>
      </c>
      <c r="S63" s="6">
        <v>75.603499999999997</v>
      </c>
      <c r="T63" s="6">
        <f t="shared" si="1"/>
        <v>2.0893000000000002</v>
      </c>
      <c r="U63" s="6">
        <v>69.778999999999996</v>
      </c>
      <c r="V63" s="6">
        <f t="shared" si="2"/>
        <v>1.6274999999999999</v>
      </c>
      <c r="W63" s="6">
        <v>53.258099999999999</v>
      </c>
      <c r="X63" s="6">
        <f t="shared" si="3"/>
        <v>1.1936</v>
      </c>
      <c r="Y63" s="6">
        <v>42.659399999999998</v>
      </c>
      <c r="AA63" s="2" t="s">
        <v>60</v>
      </c>
      <c r="AB63" s="6">
        <f t="shared" si="13"/>
        <v>-50.958007344722979</v>
      </c>
      <c r="AC63" s="6">
        <f t="shared" si="14"/>
        <v>-13.671771519397836</v>
      </c>
      <c r="AD63" s="6">
        <f t="shared" si="15"/>
        <v>-58.30073447229762</v>
      </c>
      <c r="AE63" s="6">
        <f t="shared" si="16"/>
        <v>-20.322505503740729</v>
      </c>
      <c r="AF63" s="6">
        <f t="shared" si="17"/>
        <v>-67.517563467986577</v>
      </c>
      <c r="AG63" s="6">
        <f t="shared" si="18"/>
        <v>-39.186976459518966</v>
      </c>
      <c r="AH63" s="6">
        <f t="shared" si="19"/>
        <v>-76.177550694555322</v>
      </c>
      <c r="AI63" s="6">
        <f t="shared" si="20"/>
        <v>-51.289154205223305</v>
      </c>
    </row>
    <row r="64" spans="1:35" ht="15" thickBot="1" x14ac:dyDescent="0.35">
      <c r="A64"/>
      <c r="B64" s="2" t="s">
        <v>61</v>
      </c>
      <c r="C64" s="28">
        <v>324951.98930000002</v>
      </c>
      <c r="D64" s="6">
        <v>7.3243999999999998</v>
      </c>
      <c r="E64" s="4">
        <v>266877.86958026123</v>
      </c>
      <c r="F64" s="6">
        <v>5.1025</v>
      </c>
      <c r="G64" s="4">
        <v>260460.3927435755</v>
      </c>
      <c r="H64" s="6">
        <v>4.3666</v>
      </c>
      <c r="I64" s="4">
        <v>255909.1151814397</v>
      </c>
      <c r="J64" s="6">
        <v>3.4546000000000001</v>
      </c>
      <c r="K64" s="4">
        <v>245979.88219638891</v>
      </c>
      <c r="L64" s="6">
        <v>2.8195999999999999</v>
      </c>
      <c r="M64" s="4">
        <v>235054.67136413362</v>
      </c>
      <c r="O64" s="2" t="s">
        <v>61</v>
      </c>
      <c r="P64" s="6">
        <f t="shared" si="12"/>
        <v>7.3243999999999998</v>
      </c>
      <c r="Q64" s="6">
        <v>82.128399999999999</v>
      </c>
      <c r="R64" s="6">
        <f t="shared" si="0"/>
        <v>5.1025</v>
      </c>
      <c r="S64" s="6">
        <v>80.153499999999994</v>
      </c>
      <c r="T64" s="6">
        <f t="shared" si="1"/>
        <v>4.3666</v>
      </c>
      <c r="U64" s="6">
        <v>78.752899999999997</v>
      </c>
      <c r="V64" s="6">
        <f t="shared" si="2"/>
        <v>3.4546000000000001</v>
      </c>
      <c r="W64" s="6">
        <v>75.697299999999998</v>
      </c>
      <c r="X64" s="6">
        <f t="shared" si="3"/>
        <v>2.8195999999999999</v>
      </c>
      <c r="Y64" s="6">
        <v>72.3352</v>
      </c>
      <c r="AA64" s="2" t="s">
        <v>61</v>
      </c>
      <c r="AB64" s="6">
        <f t="shared" si="13"/>
        <v>-30.335590628583915</v>
      </c>
      <c r="AC64" s="6">
        <f t="shared" si="14"/>
        <v>-2.4046493052342583</v>
      </c>
      <c r="AD64" s="6">
        <f t="shared" si="15"/>
        <v>-40.38282999290044</v>
      </c>
      <c r="AE64" s="6">
        <f t="shared" si="16"/>
        <v>-4.110027712703527</v>
      </c>
      <c r="AF64" s="6">
        <f t="shared" si="17"/>
        <v>-52.834361858991855</v>
      </c>
      <c r="AG64" s="6">
        <f t="shared" si="18"/>
        <v>-7.8305433930284778</v>
      </c>
      <c r="AH64" s="6">
        <f t="shared" si="19"/>
        <v>-61.504013980667359</v>
      </c>
      <c r="AI64" s="6">
        <f t="shared" si="20"/>
        <v>-11.924255190652687</v>
      </c>
    </row>
    <row r="65" spans="1:35" ht="15" thickBot="1" x14ac:dyDescent="0.35">
      <c r="A65"/>
      <c r="B65" s="2" t="s">
        <v>62</v>
      </c>
      <c r="C65" s="28">
        <v>1280202.5296</v>
      </c>
      <c r="D65" s="6">
        <v>0.114</v>
      </c>
      <c r="E65" s="4">
        <v>315184.58258499042</v>
      </c>
      <c r="F65" s="6">
        <v>5.8000000000000003E-2</v>
      </c>
      <c r="G65" s="4">
        <v>234921.0047891888</v>
      </c>
      <c r="H65" s="6">
        <v>3.5799999999999998E-2</v>
      </c>
      <c r="I65" s="4">
        <v>178222.11495573437</v>
      </c>
      <c r="J65" s="6">
        <v>3.3099999999999997E-2</v>
      </c>
      <c r="K65" s="4">
        <v>164315.27487668963</v>
      </c>
      <c r="L65" s="6">
        <v>2.0899999999999998E-2</v>
      </c>
      <c r="M65" s="4">
        <v>81209.647465175993</v>
      </c>
      <c r="O65" s="2" t="s">
        <v>62</v>
      </c>
      <c r="P65" s="6">
        <f t="shared" si="12"/>
        <v>0.114</v>
      </c>
      <c r="Q65" s="6">
        <v>24.619900000000001</v>
      </c>
      <c r="R65" s="6">
        <f t="shared" si="0"/>
        <v>5.8000000000000003E-2</v>
      </c>
      <c r="S65" s="6">
        <v>18.350300000000001</v>
      </c>
      <c r="T65" s="6">
        <f t="shared" si="1"/>
        <v>3.5799999999999998E-2</v>
      </c>
      <c r="U65" s="6">
        <v>13.9214</v>
      </c>
      <c r="V65" s="6">
        <f t="shared" si="2"/>
        <v>3.3099999999999997E-2</v>
      </c>
      <c r="W65" s="6">
        <v>12.835100000000001</v>
      </c>
      <c r="X65" s="6">
        <f t="shared" si="3"/>
        <v>2.0899999999999998E-2</v>
      </c>
      <c r="Y65" s="6">
        <v>6.3434999999999997</v>
      </c>
      <c r="AA65" s="2" t="s">
        <v>62</v>
      </c>
      <c r="AB65" s="6">
        <f t="shared" si="13"/>
        <v>-49.122807017543856</v>
      </c>
      <c r="AC65" s="6">
        <f t="shared" si="14"/>
        <v>-25.465578657914946</v>
      </c>
      <c r="AD65" s="6">
        <f t="shared" si="15"/>
        <v>-68.596491228070178</v>
      </c>
      <c r="AE65" s="6">
        <f t="shared" si="16"/>
        <v>-43.454685031214595</v>
      </c>
      <c r="AF65" s="6">
        <f t="shared" si="17"/>
        <v>-70.964912280701753</v>
      </c>
      <c r="AG65" s="6">
        <f t="shared" si="18"/>
        <v>-47.866969402800166</v>
      </c>
      <c r="AH65" s="6">
        <f t="shared" si="19"/>
        <v>-81.666666666666671</v>
      </c>
      <c r="AI65" s="6">
        <f t="shared" si="20"/>
        <v>-74.234257653361709</v>
      </c>
    </row>
    <row r="66" spans="1:35" ht="15" thickBot="1" x14ac:dyDescent="0.35">
      <c r="A66"/>
      <c r="B66" s="2" t="s">
        <v>63</v>
      </c>
      <c r="C66" s="28">
        <v>282525.21059999999</v>
      </c>
      <c r="D66" s="6">
        <v>0.40289999999999998</v>
      </c>
      <c r="E66" s="4">
        <v>151180.9353433236</v>
      </c>
      <c r="F66" s="6">
        <v>0.34799999999999998</v>
      </c>
      <c r="G66" s="4">
        <v>108734.3477027796</v>
      </c>
      <c r="H66" s="6">
        <v>0.29670000000000002</v>
      </c>
      <c r="I66" s="4">
        <v>97316.373841591194</v>
      </c>
      <c r="J66" s="6">
        <v>0.28199999999999997</v>
      </c>
      <c r="K66" s="4">
        <v>93828.882641944787</v>
      </c>
      <c r="L66" s="6">
        <v>0.21279999999999999</v>
      </c>
      <c r="M66" s="4">
        <v>76451.321988359996</v>
      </c>
      <c r="O66" s="2" t="s">
        <v>63</v>
      </c>
      <c r="P66" s="6">
        <f t="shared" si="12"/>
        <v>0.40289999999999998</v>
      </c>
      <c r="Q66" s="6">
        <v>53.510599999999997</v>
      </c>
      <c r="R66" s="6">
        <f t="shared" si="0"/>
        <v>0.34799999999999998</v>
      </c>
      <c r="S66" s="6">
        <v>38.486600000000003</v>
      </c>
      <c r="T66" s="6">
        <f t="shared" si="1"/>
        <v>0.29670000000000002</v>
      </c>
      <c r="U66" s="6">
        <v>34.4452</v>
      </c>
      <c r="V66" s="6">
        <f t="shared" si="2"/>
        <v>0.28199999999999997</v>
      </c>
      <c r="W66" s="6">
        <v>33.210799999999999</v>
      </c>
      <c r="X66" s="6">
        <f t="shared" si="3"/>
        <v>0.21279999999999999</v>
      </c>
      <c r="Y66" s="6">
        <v>27.06</v>
      </c>
      <c r="AA66" s="2" t="s">
        <v>63</v>
      </c>
      <c r="AB66" s="6">
        <f t="shared" si="13"/>
        <v>-13.626209977661958</v>
      </c>
      <c r="AC66" s="6">
        <f t="shared" si="14"/>
        <v>-28.076680134403276</v>
      </c>
      <c r="AD66" s="6">
        <f t="shared" si="15"/>
        <v>-26.358897989575567</v>
      </c>
      <c r="AE66" s="6">
        <f t="shared" si="16"/>
        <v>-35.629202438395382</v>
      </c>
      <c r="AF66" s="6">
        <f t="shared" si="17"/>
        <v>-30.007446016381238</v>
      </c>
      <c r="AG66" s="6">
        <f t="shared" si="18"/>
        <v>-37.936035103325324</v>
      </c>
      <c r="AH66" s="6">
        <f t="shared" si="19"/>
        <v>-47.18292380243237</v>
      </c>
      <c r="AI66" s="6">
        <f t="shared" si="20"/>
        <v>-49.430580109361507</v>
      </c>
    </row>
    <row r="67" spans="1:35" x14ac:dyDescent="0.3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</row>
    <row r="68" spans="1:35" x14ac:dyDescent="0.3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</row>
    <row r="69" spans="1:35" x14ac:dyDescent="0.3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</row>
    <row r="70" spans="1:35" x14ac:dyDescent="0.3">
      <c r="B70" s="8" t="s">
        <v>80</v>
      </c>
      <c r="C70" s="18">
        <f>SUM(C17:C18)</f>
        <v>2029.2898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</row>
    <row r="71" spans="1:35" x14ac:dyDescent="0.3">
      <c r="B71" s="8" t="s">
        <v>81</v>
      </c>
      <c r="C71" s="18">
        <f>SUM(C19)</f>
        <v>366206.33929999999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</row>
    <row r="72" spans="1:35" x14ac:dyDescent="0.3">
      <c r="B72" s="8" t="s">
        <v>82</v>
      </c>
      <c r="C72" s="18">
        <f>SUM(C20:C24)</f>
        <v>5383.9468000000006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</row>
    <row r="73" spans="1:35" x14ac:dyDescent="0.3">
      <c r="B73" s="8" t="s">
        <v>83</v>
      </c>
      <c r="C73" s="18">
        <f>SUM(C25:C31)</f>
        <v>463866.38980000006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</row>
    <row r="74" spans="1:35" x14ac:dyDescent="0.3">
      <c r="B74" s="8" t="s">
        <v>84</v>
      </c>
      <c r="C74" s="18">
        <f>SUM(C37:C45)</f>
        <v>856148.06839999999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</row>
    <row r="75" spans="1:35" x14ac:dyDescent="0.3">
      <c r="B75" s="8" t="s">
        <v>85</v>
      </c>
      <c r="C75" s="18">
        <f>SUM(C46:C52)</f>
        <v>448142.09600000002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</row>
    <row r="76" spans="1:35" x14ac:dyDescent="0.3">
      <c r="B76" s="8" t="s">
        <v>86</v>
      </c>
      <c r="C76" s="18">
        <f>SUM(C53:C66)</f>
        <v>5083371.6115000006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</row>
    <row r="77" spans="1:35" x14ac:dyDescent="0.3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</row>
    <row r="78" spans="1:35" x14ac:dyDescent="0.3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</row>
    <row r="79" spans="1:35" x14ac:dyDescent="0.3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</row>
    <row r="80" spans="1:35" x14ac:dyDescent="0.3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</row>
    <row r="81" spans="2:35" x14ac:dyDescent="0.3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</row>
    <row r="82" spans="2:35" x14ac:dyDescent="0.3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</row>
    <row r="83" spans="2:35" x14ac:dyDescent="0.3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</row>
    <row r="84" spans="2:35" x14ac:dyDescent="0.3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</row>
    <row r="85" spans="2:35" x14ac:dyDescent="0.3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</row>
    <row r="86" spans="2:35" x14ac:dyDescent="0.3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</row>
    <row r="87" spans="2:35" x14ac:dyDescent="0.3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</row>
    <row r="88" spans="2:35" x14ac:dyDescent="0.3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</row>
    <row r="89" spans="2:35" x14ac:dyDescent="0.3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</row>
    <row r="90" spans="2:35" x14ac:dyDescent="0.3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</row>
    <row r="91" spans="2:35" x14ac:dyDescent="0.3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</row>
    <row r="92" spans="2:35" x14ac:dyDescent="0.3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</row>
    <row r="93" spans="2:35" x14ac:dyDescent="0.3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</row>
    <row r="94" spans="2:35" x14ac:dyDescent="0.3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</row>
    <row r="95" spans="2:35" x14ac:dyDescent="0.3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</row>
    <row r="96" spans="2:35" x14ac:dyDescent="0.3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</row>
    <row r="97" spans="2:35" x14ac:dyDescent="0.3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</row>
    <row r="98" spans="2:35" x14ac:dyDescent="0.3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</row>
    <row r="99" spans="2:35" x14ac:dyDescent="0.3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</row>
    <row r="100" spans="2:35" x14ac:dyDescent="0.3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</row>
    <row r="101" spans="2:35" x14ac:dyDescent="0.3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</row>
    <row r="102" spans="2:35" x14ac:dyDescent="0.3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</row>
    <row r="103" spans="2:35" x14ac:dyDescent="0.3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</row>
    <row r="104" spans="2:35" x14ac:dyDescent="0.3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</row>
    <row r="105" spans="2:35" x14ac:dyDescent="0.3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</row>
    <row r="106" spans="2:35" x14ac:dyDescent="0.3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</row>
    <row r="107" spans="2:35" x14ac:dyDescent="0.3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</row>
    <row r="108" spans="2:35" x14ac:dyDescent="0.3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</row>
    <row r="109" spans="2:35" x14ac:dyDescent="0.3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</row>
    <row r="110" spans="2:35" x14ac:dyDescent="0.3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</row>
    <row r="111" spans="2:35" x14ac:dyDescent="0.3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</row>
    <row r="112" spans="2:35" x14ac:dyDescent="0.3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</row>
    <row r="113" spans="2:35" x14ac:dyDescent="0.3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</row>
    <row r="114" spans="2:35" x14ac:dyDescent="0.3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</row>
    <row r="115" spans="2:35" x14ac:dyDescent="0.3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</row>
    <row r="116" spans="2:35" x14ac:dyDescent="0.3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</row>
    <row r="117" spans="2:35" x14ac:dyDescent="0.3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</row>
    <row r="118" spans="2:35" x14ac:dyDescent="0.3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</row>
    <row r="119" spans="2:35" x14ac:dyDescent="0.3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</row>
    <row r="120" spans="2:35" x14ac:dyDescent="0.3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</row>
    <row r="121" spans="2:35" x14ac:dyDescent="0.3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</row>
    <row r="122" spans="2:35" x14ac:dyDescent="0.3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</row>
    <row r="123" spans="2:35" x14ac:dyDescent="0.3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</row>
    <row r="124" spans="2:35" x14ac:dyDescent="0.3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</row>
    <row r="125" spans="2:35" x14ac:dyDescent="0.3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</row>
    <row r="126" spans="2:35" x14ac:dyDescent="0.3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</row>
    <row r="127" spans="2:35" x14ac:dyDescent="0.3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</row>
    <row r="128" spans="2:35" x14ac:dyDescent="0.3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</row>
    <row r="129" spans="2:35" x14ac:dyDescent="0.3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</row>
    <row r="130" spans="2:35" x14ac:dyDescent="0.3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</row>
    <row r="131" spans="2:35" x14ac:dyDescent="0.3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</row>
    <row r="132" spans="2:35" x14ac:dyDescent="0.3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</row>
    <row r="133" spans="2:35" x14ac:dyDescent="0.3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</row>
    <row r="134" spans="2:35" x14ac:dyDescent="0.3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</row>
    <row r="135" spans="2:35" x14ac:dyDescent="0.3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</row>
    <row r="136" spans="2:35" x14ac:dyDescent="0.3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</row>
    <row r="137" spans="2:35" x14ac:dyDescent="0.3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</row>
    <row r="138" spans="2:35" x14ac:dyDescent="0.3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</row>
    <row r="139" spans="2:35" x14ac:dyDescent="0.3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</row>
    <row r="140" spans="2:35" x14ac:dyDescent="0.3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</row>
    <row r="141" spans="2:35" x14ac:dyDescent="0.3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</row>
    <row r="142" spans="2:35" x14ac:dyDescent="0.3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</row>
    <row r="143" spans="2:35" x14ac:dyDescent="0.3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</row>
    <row r="144" spans="2:35" x14ac:dyDescent="0.3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</row>
    <row r="145" spans="2:35" x14ac:dyDescent="0.3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</row>
    <row r="146" spans="2:35" x14ac:dyDescent="0.3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</row>
    <row r="147" spans="2:35" x14ac:dyDescent="0.3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</row>
    <row r="148" spans="2:35" x14ac:dyDescent="0.3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</row>
    <row r="149" spans="2:35" x14ac:dyDescent="0.3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</row>
    <row r="150" spans="2:35" x14ac:dyDescent="0.3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</row>
    <row r="151" spans="2:35" x14ac:dyDescent="0.3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</row>
    <row r="152" spans="2:35" x14ac:dyDescent="0.3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</row>
    <row r="153" spans="2:35" x14ac:dyDescent="0.3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</row>
    <row r="154" spans="2:35" x14ac:dyDescent="0.3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</row>
    <row r="155" spans="2:35" x14ac:dyDescent="0.3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</row>
    <row r="156" spans="2:35" x14ac:dyDescent="0.3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</row>
    <row r="157" spans="2:35" x14ac:dyDescent="0.3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</row>
    <row r="158" spans="2:35" x14ac:dyDescent="0.3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</row>
    <row r="159" spans="2:35" x14ac:dyDescent="0.3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</row>
    <row r="160" spans="2:35" x14ac:dyDescent="0.3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</row>
    <row r="161" spans="2:35" x14ac:dyDescent="0.3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</row>
    <row r="162" spans="2:35" x14ac:dyDescent="0.3"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</row>
    <row r="163" spans="2:35" x14ac:dyDescent="0.3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</row>
    <row r="164" spans="2:35" x14ac:dyDescent="0.3"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</row>
    <row r="165" spans="2:35" x14ac:dyDescent="0.3"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</row>
    <row r="166" spans="2:35" x14ac:dyDescent="0.3"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</row>
    <row r="167" spans="2:35" x14ac:dyDescent="0.3"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</row>
  </sheetData>
  <mergeCells count="17">
    <mergeCell ref="AH6:AI6"/>
    <mergeCell ref="AF6:AG6"/>
    <mergeCell ref="B6:B7"/>
    <mergeCell ref="D6:E6"/>
    <mergeCell ref="F6:G6"/>
    <mergeCell ref="H6:I6"/>
    <mergeCell ref="J6:K6"/>
    <mergeCell ref="L6:M6"/>
    <mergeCell ref="O6:O7"/>
    <mergeCell ref="AA6:AA7"/>
    <mergeCell ref="AB6:AC6"/>
    <mergeCell ref="AD6:AE6"/>
    <mergeCell ref="X6:Y6"/>
    <mergeCell ref="V6:W6"/>
    <mergeCell ref="T6:U6"/>
    <mergeCell ref="R6:S6"/>
    <mergeCell ref="P6:Q6"/>
  </mergeCells>
  <pageMargins left="0.7" right="0.7" top="0.78740157499999996" bottom="0.78740157499999996" header="0.3" footer="0.3"/>
  <pageSetup paperSize="9" scale="9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E726821B4414D4F801789566814E9B0" ma:contentTypeVersion="14" ma:contentTypeDescription="Skapa ett nytt dokument." ma:contentTypeScope="" ma:versionID="9640bda3b9888aac721eb9060946fcb8">
  <xsd:schema xmlns:xsd="http://www.w3.org/2001/XMLSchema" xmlns:xs="http://www.w3.org/2001/XMLSchema" xmlns:p="http://schemas.microsoft.com/office/2006/metadata/properties" xmlns:ns2="64bc8f4d-cac8-469d-840e-d8b6f8e247f0" xmlns:ns3="458478d6-e45f-463e-b166-5a01b5e53481" targetNamespace="http://schemas.microsoft.com/office/2006/metadata/properties" ma:root="true" ma:fieldsID="1f4623e60d5b6808aeaedb8b4af22e75" ns2:_="" ns3:_="">
    <xsd:import namespace="64bc8f4d-cac8-469d-840e-d8b6f8e247f0"/>
    <xsd:import namespace="458478d6-e45f-463e-b166-5a01b5e5348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c8f4d-cac8-469d-840e-d8b6f8e247f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11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baa4500e-c61e-4159-b67e-c6133d211784}" ma:internalName="TaxCatchAll" ma:showField="CatchAllData" ma:web="64bc8f4d-cac8-469d-840e-d8b6f8e247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478d6-e45f-463e-b166-5a01b5e53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b7d5c9cd-1d9d-4498-a792-f3e3b2446e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4bc8f4d-cac8-469d-840e-d8b6f8e247f0">4FMPXW5WT43S-1005746519-457</_dlc_DocId>
    <lcf76f155ced4ddcb4097134ff3c332f xmlns="458478d6-e45f-463e-b166-5a01b5e53481">
      <Terms xmlns="http://schemas.microsoft.com/office/infopath/2007/PartnerControls"/>
    </lcf76f155ced4ddcb4097134ff3c332f>
    <TaxCatchAll xmlns="64bc8f4d-cac8-469d-840e-d8b6f8e247f0" xsi:nil="true"/>
    <_dlc_DocIdUrl xmlns="64bc8f4d-cac8-469d-840e-d8b6f8e247f0">
      <Url>https://anthesisllc.sharepoint.com/teams/External_-_Nordic_SLCPs_365/_layouts/15/DocIdRedir.aspx?ID=4FMPXW5WT43S-1005746519-457</Url>
      <Description>4FMPXW5WT43S-1005746519-457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1B8131-64A5-4C52-8850-89293600F3DB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8C9E5C4-7753-4A44-A69E-AA58A168AE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bc8f4d-cac8-469d-840e-d8b6f8e247f0"/>
    <ds:schemaRef ds:uri="458478d6-e45f-463e-b166-5a01b5e534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120156-BC4C-4FB9-B842-9E8BFBEB4686}">
  <ds:schemaRefs>
    <ds:schemaRef ds:uri="http://schemas.microsoft.com/office/2006/metadata/properties"/>
    <ds:schemaRef ds:uri="http://schemas.microsoft.com/office/infopath/2007/PartnerControls"/>
    <ds:schemaRef ds:uri="64bc8f4d-cac8-469d-840e-d8b6f8e247f0"/>
    <ds:schemaRef ds:uri="458478d6-e45f-463e-b166-5a01b5e53481"/>
  </ds:schemaRefs>
</ds:datastoreItem>
</file>

<file path=customXml/itemProps4.xml><?xml version="1.0" encoding="utf-8"?>
<ds:datastoreItem xmlns:ds="http://schemas.openxmlformats.org/officeDocument/2006/customXml" ds:itemID="{805446DB-9F12-4830-97A4-585BAAD4E5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Stats_CLmin_EUNIS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Plha, Thomas</dc:creator>
  <cp:lastModifiedBy>Stefan Åström</cp:lastModifiedBy>
  <cp:lastPrinted>2025-10-07T11:31:54Z</cp:lastPrinted>
  <dcterms:created xsi:type="dcterms:W3CDTF">2015-06-05T18:19:34Z</dcterms:created>
  <dcterms:modified xsi:type="dcterms:W3CDTF">2026-08-21T13:48:15Z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0x010100EE726821B4414D4F801789566814E9B0</vt:lpwstr>
  </property>
  <property fmtid="{D5CDD505-2E9C-101B-9397-08002B2CF9AE}" pid="4" name="_dlc_DocIdItemGuid">
    <vt:lpwstr>53c21871-f4df-43c0-8e33-114f55905719</vt:lpwstr>
  </property>
</Properties>
</file>
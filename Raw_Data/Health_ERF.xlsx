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nthesisllc-my.sharepoint.com/personal/lovisa_areback_anthesisgroup_com/Documents/Dokument/GitHub/CBA_GBG_PROT/Input/"/>
    </mc:Choice>
  </mc:AlternateContent>
  <xr:revisionPtr revIDLastSave="11" documentId="13_ncr:1_{621AD6C0-16B6-42A5-917B-ECB0A53F01B1}" xr6:coauthVersionLast="47" xr6:coauthVersionMax="47" xr10:uidLastSave="{E994ECA7-57B3-45ED-A8A3-3B16407121AD}"/>
  <bookViews>
    <workbookView xWindow="-51720" yWindow="-5445" windowWidth="51840" windowHeight="21120" activeTab="1" xr2:uid="{00000000-000D-0000-FFFF-FFFF00000000}"/>
  </bookViews>
  <sheets>
    <sheet name="INFO" sheetId="3" r:id="rId1"/>
    <sheet name="AIR" sheetId="1" r:id="rId2"/>
    <sheet name="CHEM" sheetId="2" r:id="rId3"/>
    <sheet name="QALY" sheetId="5" r:id="rId4"/>
    <sheet name="Sources" sheetId="4" r:id="rId5"/>
  </sheets>
  <definedNames>
    <definedName name="_xlnm._FilterDatabase" localSheetId="1" hidden="1">AIR!$A$1:$X$49</definedName>
    <definedName name="_xlnm._FilterDatabase" localSheetId="2" hidden="1">CHEM!$A$1:$X$32</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1" i="2" l="1"/>
  <c r="M31" i="2"/>
  <c r="K31" i="2"/>
  <c r="R30" i="2"/>
  <c r="R29" i="2"/>
  <c r="M29" i="2"/>
  <c r="K29" i="2"/>
  <c r="R28" i="2"/>
  <c r="M28" i="2"/>
  <c r="K28" i="2"/>
  <c r="R27" i="2"/>
  <c r="M27" i="2"/>
  <c r="K27" i="2"/>
  <c r="R26" i="2"/>
  <c r="M26" i="2"/>
  <c r="K26" i="2"/>
  <c r="R24" i="2"/>
  <c r="M24" i="2"/>
  <c r="K24" i="2"/>
  <c r="R23" i="2"/>
  <c r="M23" i="2"/>
  <c r="K23" i="2"/>
  <c r="R22" i="2"/>
  <c r="M22" i="2"/>
  <c r="K22" i="2"/>
  <c r="R21" i="2"/>
  <c r="M21" i="2"/>
  <c r="K21" i="2"/>
  <c r="R20" i="2"/>
  <c r="M20" i="2"/>
  <c r="K20" i="2"/>
  <c r="R19" i="2"/>
  <c r="M19" i="2"/>
  <c r="K19" i="2"/>
  <c r="R18" i="2"/>
  <c r="M18" i="2"/>
  <c r="K18" i="2"/>
  <c r="R9" i="2"/>
  <c r="M9" i="2"/>
  <c r="K9" i="2"/>
  <c r="R8" i="2"/>
  <c r="M8" i="2"/>
  <c r="K8" i="2"/>
  <c r="R6" i="2"/>
  <c r="M6" i="2"/>
  <c r="K6" i="2"/>
  <c r="R4" i="2"/>
  <c r="M4" i="2"/>
  <c r="K4" i="2"/>
  <c r="R3" i="2"/>
  <c r="M3" i="2"/>
  <c r="K3" i="2"/>
  <c r="M2" i="2"/>
  <c r="K2" i="2"/>
</calcChain>
</file>

<file path=xl/sharedStrings.xml><?xml version="1.0" encoding="utf-8"?>
<sst xmlns="http://schemas.openxmlformats.org/spreadsheetml/2006/main" count="1236" uniqueCount="317">
  <si>
    <t>version of</t>
  </si>
  <si>
    <t>DC</t>
  </si>
  <si>
    <t>Pollutant</t>
  </si>
  <si>
    <t>Default</t>
  </si>
  <si>
    <t>Core?</t>
  </si>
  <si>
    <t>Impact_type</t>
  </si>
  <si>
    <t>Health_outcome</t>
  </si>
  <si>
    <t>Exposure window</t>
  </si>
  <si>
    <t>All-cause?</t>
  </si>
  <si>
    <t>Set</t>
  </si>
  <si>
    <t>Level</t>
  </si>
  <si>
    <t>Age_min</t>
  </si>
  <si>
    <t>Age_max</t>
  </si>
  <si>
    <t>Show age</t>
  </si>
  <si>
    <t>ERF_L</t>
  </si>
  <si>
    <t>ERF_C</t>
  </si>
  <si>
    <t>ERF_H</t>
  </si>
  <si>
    <t>Increment</t>
  </si>
  <si>
    <t>Exp_MIN</t>
  </si>
  <si>
    <t>Exp_MAX</t>
  </si>
  <si>
    <t>ERF_type</t>
  </si>
  <si>
    <t>Damage type</t>
  </si>
  <si>
    <t>Death cause</t>
  </si>
  <si>
    <t>Source</t>
  </si>
  <si>
    <t>A</t>
  </si>
  <si>
    <r>
      <t>Fine particles (PM</t>
    </r>
    <r>
      <rPr>
        <vertAlign val="subscript"/>
        <sz val="12"/>
        <rFont val="Calibri"/>
        <family val="2"/>
        <scheme val="minor"/>
      </rPr>
      <t>2.5</t>
    </r>
    <r>
      <rPr>
        <sz val="12"/>
        <rFont val="Calibri"/>
        <family val="2"/>
        <scheme val="minor"/>
      </rPr>
      <t>)</t>
    </r>
  </si>
  <si>
    <t>x</t>
  </si>
  <si>
    <t>Core</t>
  </si>
  <si>
    <t>Mortality</t>
  </si>
  <si>
    <t>Natural mortality</t>
  </si>
  <si>
    <t>Long-term</t>
  </si>
  <si>
    <t>All-cause</t>
  </si>
  <si>
    <t>100+</t>
  </si>
  <si>
    <t>30+</t>
  </si>
  <si>
    <t>RR</t>
  </si>
  <si>
    <t>Death</t>
  </si>
  <si>
    <t>—</t>
  </si>
  <si>
    <t>Orellano et al, 2024</t>
  </si>
  <si>
    <t>Short-term</t>
  </si>
  <si>
    <t>All</t>
  </si>
  <si>
    <t>Liu et al, 2019</t>
  </si>
  <si>
    <t>Circulatory mortality</t>
  </si>
  <si>
    <t>Cause-specific</t>
  </si>
  <si>
    <t>CVD = cardiovascular diseases</t>
  </si>
  <si>
    <t>IHD mortality</t>
  </si>
  <si>
    <t>IHD = Ischemic heart disease events</t>
  </si>
  <si>
    <t>Cardiovascular mortality</t>
  </si>
  <si>
    <t>NA</t>
  </si>
  <si>
    <t>Orellano et al, 2020</t>
  </si>
  <si>
    <t>Respiratory mortality</t>
  </si>
  <si>
    <t>Respiratory diseases</t>
  </si>
  <si>
    <t>COPD mortality</t>
  </si>
  <si>
    <t>COPD = Chronic obstructive pulmonary disease</t>
  </si>
  <si>
    <t>ALRI mortality</t>
  </si>
  <si>
    <t>ALRI = Acute lower respiratory infections</t>
  </si>
  <si>
    <t>Cerebrovascular mortality</t>
  </si>
  <si>
    <t>Stroke</t>
  </si>
  <si>
    <t>Lung cancer mortality</t>
  </si>
  <si>
    <t>Lung cancer</t>
  </si>
  <si>
    <t>Morbidity</t>
  </si>
  <si>
    <t>Incidence of asthma in children</t>
  </si>
  <si>
    <t>0-18</t>
  </si>
  <si>
    <t>Asthma, children</t>
  </si>
  <si>
    <t>Khreis et al, 2017</t>
  </si>
  <si>
    <t>Incidence of COPD</t>
  </si>
  <si>
    <t>COPD</t>
  </si>
  <si>
    <t>Park et al, 2021</t>
  </si>
  <si>
    <t>Incidence of IHD events</t>
  </si>
  <si>
    <t>IHD events</t>
  </si>
  <si>
    <t xml:space="preserve">Forastiere et al 2024 </t>
  </si>
  <si>
    <t>Incidence of Stroke</t>
  </si>
  <si>
    <t>Non-core</t>
  </si>
  <si>
    <t>Incidence of Dementia</t>
  </si>
  <si>
    <t>60+</t>
  </si>
  <si>
    <t>Dementia</t>
  </si>
  <si>
    <t>Best Rogowski et al 2025</t>
  </si>
  <si>
    <t>Incidence of Diabetes</t>
  </si>
  <si>
    <t>Diabetes</t>
  </si>
  <si>
    <t>Incidence of Lung Cancer</t>
  </si>
  <si>
    <t xml:space="preserve">Yu et al, 2021 </t>
  </si>
  <si>
    <t>Cardiovascular hospital admissions</t>
  </si>
  <si>
    <t>Héroux et al., 2015</t>
  </si>
  <si>
    <r>
      <t>Nitrogen dioxide (NO</t>
    </r>
    <r>
      <rPr>
        <vertAlign val="subscript"/>
        <sz val="12"/>
        <rFont val="Calibri"/>
        <family val="2"/>
        <scheme val="minor"/>
      </rPr>
      <t>2</t>
    </r>
    <r>
      <rPr>
        <sz val="12"/>
        <rFont val="Calibri"/>
        <family val="2"/>
        <scheme val="minor"/>
      </rPr>
      <t>)</t>
    </r>
  </si>
  <si>
    <t>Forastiere et al 2024</t>
  </si>
  <si>
    <t>Incidence of asthma in adults</t>
  </si>
  <si>
    <t>19+</t>
  </si>
  <si>
    <t>Asthma, adults</t>
  </si>
  <si>
    <t>Incidence of ALRI in children</t>
  </si>
  <si>
    <t>0-12</t>
  </si>
  <si>
    <t>ALRI in children</t>
  </si>
  <si>
    <t>HEI 2022</t>
  </si>
  <si>
    <t xml:space="preserve">Kasdagli et al., 2024 </t>
  </si>
  <si>
    <t>Meng et al, 2021</t>
  </si>
  <si>
    <t>Respiratory hospital admissions</t>
  </si>
  <si>
    <t>Mills et al, 2015</t>
  </si>
  <si>
    <t>Ozone</t>
  </si>
  <si>
    <t>Kasdagli et al., 2024</t>
  </si>
  <si>
    <t>Vicedo-Cabrera et al., 2020</t>
  </si>
  <si>
    <t>COMEAP, 2022</t>
  </si>
  <si>
    <r>
      <t>Particulate matter (PM</t>
    </r>
    <r>
      <rPr>
        <vertAlign val="subscript"/>
        <sz val="12"/>
        <rFont val="Calibri"/>
        <family val="2"/>
        <scheme val="minor"/>
      </rPr>
      <t>10</t>
    </r>
    <r>
      <rPr>
        <sz val="12"/>
        <rFont val="Calibri"/>
        <family val="2"/>
        <scheme val="minor"/>
      </rPr>
      <t>)</t>
    </r>
  </si>
  <si>
    <t xml:space="preserve">Orellano et al, 2024 </t>
  </si>
  <si>
    <t>Orellano et al., 2020</t>
  </si>
  <si>
    <t>Post-neonatal infant all-cause mortality</t>
  </si>
  <si>
    <t>1-12 months</t>
  </si>
  <si>
    <t>Death, infants</t>
  </si>
  <si>
    <t xml:space="preserve">Héroux et al., 2015 </t>
  </si>
  <si>
    <t>Sulphur dioxide (SO2)</t>
  </si>
  <si>
    <t>O'Brien et al, 2023</t>
  </si>
  <si>
    <t xml:space="preserve">All  </t>
  </si>
  <si>
    <t xml:space="preserve">Orellano et al., 2021 </t>
  </si>
  <si>
    <t>CAS</t>
  </si>
  <si>
    <t>Exp_route</t>
  </si>
  <si>
    <t>Exposure/Intake unit</t>
  </si>
  <si>
    <t>Nickel refinery dust</t>
  </si>
  <si>
    <t>Incidence of lung cancer [T]</t>
  </si>
  <si>
    <t>UR</t>
  </si>
  <si>
    <t>Inhlation</t>
  </si>
  <si>
    <t>µg/m3</t>
  </si>
  <si>
    <t>IRIS</t>
  </si>
  <si>
    <t>106-99-0</t>
  </si>
  <si>
    <t>1,3-Butadiene</t>
  </si>
  <si>
    <t>Incidence of leukemia [T]</t>
  </si>
  <si>
    <t>Leukemia</t>
  </si>
  <si>
    <t>12035-72-2</t>
  </si>
  <si>
    <t>Nickel subsulfide</t>
  </si>
  <si>
    <t>14797-55-8</t>
  </si>
  <si>
    <t>Nitrate</t>
  </si>
  <si>
    <t>Incidence of stomach cancer [E]</t>
  </si>
  <si>
    <t>Ingestion</t>
  </si>
  <si>
    <t>mg/l</t>
  </si>
  <si>
    <t>Stomach cancer</t>
  </si>
  <si>
    <t>Picetti et al, 2022</t>
  </si>
  <si>
    <t>18540-29-9</t>
  </si>
  <si>
    <t>Chromium (VI) compounds</t>
  </si>
  <si>
    <t>50-32-8</t>
  </si>
  <si>
    <t>Benzo(a)pyrene</t>
  </si>
  <si>
    <t>WHO, 2000</t>
  </si>
  <si>
    <t>Incidence of general cancer [T]</t>
  </si>
  <si>
    <t>SF</t>
  </si>
  <si>
    <t>mg/kg-day</t>
  </si>
  <si>
    <t>General cancer</t>
  </si>
  <si>
    <t>542-88-1</t>
  </si>
  <si>
    <t>Bis(chloromethyl)ether</t>
  </si>
  <si>
    <t>Incidence of respiratory tract tumor [T]</t>
  </si>
  <si>
    <t>Respiratory cancer</t>
  </si>
  <si>
    <t>630-08-0</t>
  </si>
  <si>
    <t>Carbon monoxide (CO)</t>
  </si>
  <si>
    <t>Acute myocardial infarction hospital admissions [E]</t>
  </si>
  <si>
    <t>mg/m3</t>
  </si>
  <si>
    <t>Acute myocardial infarction hospital admissions</t>
  </si>
  <si>
    <t>Lee et al, 2020</t>
  </si>
  <si>
    <t>7440-38-2</t>
  </si>
  <si>
    <t>Inorganic arsenic</t>
  </si>
  <si>
    <t>Incidence of lung cancer [E]</t>
  </si>
  <si>
    <t>µg/l</t>
  </si>
  <si>
    <t>Issanov et al, 2024</t>
  </si>
  <si>
    <t>Lung cancer mortality [E]</t>
  </si>
  <si>
    <t xml:space="preserve">Death </t>
  </si>
  <si>
    <t>Incidence of kidney cancer [E]</t>
  </si>
  <si>
    <t>Kidney cancer</t>
  </si>
  <si>
    <t>Bladder cancer mortality [E]</t>
  </si>
  <si>
    <t>Bladder cancer</t>
  </si>
  <si>
    <t>Incidence of bladder cancer [E]</t>
  </si>
  <si>
    <t>CHD mortality [E]</t>
  </si>
  <si>
    <t>CHD = coronary heart disease</t>
  </si>
  <si>
    <t>Xu et al, 2020</t>
  </si>
  <si>
    <t>CVD mortality [E]</t>
  </si>
  <si>
    <t>Arsenic</t>
  </si>
  <si>
    <t>Incidence of bladder cancer [T]</t>
  </si>
  <si>
    <t>75-01-4</t>
  </si>
  <si>
    <t>Vinyl chloride</t>
  </si>
  <si>
    <t>Incidence of liver angiosarcomas, angiomas, hepatomas, and neoplastic nodules  [T]</t>
  </si>
  <si>
    <t>Liver cancer</t>
  </si>
  <si>
    <t>Incidence of liver angiosarcomas, angiomas, hepatomas, and neoplastic nodules [T]</t>
  </si>
  <si>
    <t>75-21-8</t>
  </si>
  <si>
    <t>Ethylene oxide</t>
  </si>
  <si>
    <t>Incidence of breast cancer [T]</t>
  </si>
  <si>
    <t>Breast cancer</t>
  </si>
  <si>
    <t>79-01-6</t>
  </si>
  <si>
    <t>Trichloroethylene</t>
  </si>
  <si>
    <t>Incidence of renal cell carcinoma, non-Hodgkin's lymphoma, and liver tumors [T]</t>
  </si>
  <si>
    <t>80-05-7</t>
  </si>
  <si>
    <t>Bisphenol A</t>
  </si>
  <si>
    <t>Incidence of diabetes type 2 [E]</t>
  </si>
  <si>
    <t>ng/ml</t>
  </si>
  <si>
    <t>Hwang et al, 2018</t>
  </si>
  <si>
    <t>8007-45-2</t>
  </si>
  <si>
    <t>Coke Oven Emissions</t>
  </si>
  <si>
    <t>Incidence of respiratory cancer [T]</t>
  </si>
  <si>
    <t>92-87-5</t>
  </si>
  <si>
    <t>Benzidine</t>
  </si>
  <si>
    <t>71-43-2</t>
  </si>
  <si>
    <t>Benzene (inh_µg/m3)</t>
  </si>
  <si>
    <t>Incidence o Leukemia [T]</t>
  </si>
  <si>
    <t>Benzene (inh_ppm-years)</t>
  </si>
  <si>
    <t>Incidence of Leukemia [E]</t>
  </si>
  <si>
    <t>ppm-years</t>
  </si>
  <si>
    <t>Khalade et al, 2010</t>
  </si>
  <si>
    <t>QALY weight</t>
  </si>
  <si>
    <t>Source, QALY weight</t>
  </si>
  <si>
    <t>Length</t>
  </si>
  <si>
    <t>Source, length</t>
  </si>
  <si>
    <t>van Dorst et al, 2024*</t>
  </si>
  <si>
    <t>Based on 12.67 days mean duration for moderate disease from van Dorst et al, 2024</t>
  </si>
  <si>
    <t>Asthma in adults</t>
  </si>
  <si>
    <t>CEA and various NICE guidelines</t>
  </si>
  <si>
    <t>UK/Ricardo-Defra</t>
  </si>
  <si>
    <t>Asthma in children</t>
  </si>
  <si>
    <t>Autism</t>
  </si>
  <si>
    <t>Lavelle et al, 2014**</t>
  </si>
  <si>
    <t>Expert estimate based on UK data indicating that those with the condition live on average 8.3 years less than others</t>
  </si>
  <si>
    <t>Expert estimate</t>
  </si>
  <si>
    <t>https://www.alzheimers.org.uk/about-dementia/stages-and-symptoms/later-stages-dementia#:~:text=Alzheimer's%20disease%20%E2%80%93%20around%20eight%20to,to%20three%20years%20after%20diagnosis..</t>
  </si>
  <si>
    <t>Hypertension</t>
  </si>
  <si>
    <t>Sullivan &amp; Ghushchyan 2006***</t>
  </si>
  <si>
    <t>Ara &amp; Brazier 2010***</t>
  </si>
  <si>
    <t xml:space="preserve">Expert estimate based on assumptopn that event + treatment last for 1 month </t>
  </si>
  <si>
    <t>Ricardo-DISMOD II</t>
  </si>
  <si>
    <t>Prostate cancer</t>
  </si>
  <si>
    <t>Ricardo 2023</t>
  </si>
  <si>
    <t>Colon-rectal cancer</t>
  </si>
  <si>
    <t>ALY score given as equal to that for 'General Cancer'. https://www.euronews.com/health/2024/12/18/where-are-you-most-likely-to-survive-cancer-in-europe-and-why#:~:text=Lymphoma%20survival%20reaches%2060%20per,highest%2C%20exceeding%2071%20per%20cent.</t>
  </si>
  <si>
    <t>Hodgkin lymphoma</t>
  </si>
  <si>
    <t>Hodgkin lymphoma is a kind of blood cancer, QALY weight given as equal to that for 'General Cancer'. https://www.cancernetwork.com/view/eurocare-5-blood-cancer-survival-rates-vary-greatly-across-europe</t>
  </si>
  <si>
    <t>https://www.euronews.com/health/2024/12/18/where-are-you-most-likely-to-survive-cancer-in-europe-and-why#:~:text=Lymphoma%20survival%20reaches%2060%20per,highest%2C%20exceeding%2071%20per%20cent.</t>
  </si>
  <si>
    <t>Same as for lung cancer (roughly the same mortality rates)</t>
  </si>
  <si>
    <t>Same as for lung cancer</t>
  </si>
  <si>
    <t>Delam et al, 2025</t>
  </si>
  <si>
    <t>Duration set to equal lung cancer given similar survival rates. https://www.euronews.com/health/2024/12/18/where-are-you-most-likely-to-survive-cancer-in-europe-and-why#:~:text=Lymphoma%20survival%20reaches%2060%20per,highest%2C%20exceeding%2071%20per%20cent.</t>
  </si>
  <si>
    <t>QALY calculated as average of other cancers. Survival rate from Manzano et al, 2025</t>
  </si>
  <si>
    <t>*for moderate disease</t>
  </si>
  <si>
    <t>**average of values for autism with and without ID</t>
  </si>
  <si>
    <t>***average of low and high values</t>
  </si>
  <si>
    <t>***average of low and high values, mild and severe disease</t>
  </si>
  <si>
    <t>Source, short name</t>
  </si>
  <si>
    <t>Source, full name</t>
  </si>
  <si>
    <t>Link</t>
  </si>
  <si>
    <t>AIR</t>
  </si>
  <si>
    <t>HRAPIE 2, 2025</t>
  </si>
  <si>
    <t>Health risks of air pollution in Europe: HRAPIE-2 project: Updated guidance on concentration-response functions for health risks assessment of air pollution in the WHO European Region</t>
  </si>
  <si>
    <t>https://iris.who.int/server/api/core/bitstreams/19bdf746-06de-4f1b-90ba-f8d53989936f/content</t>
  </si>
  <si>
    <t>Best Rogowski et al, 2025</t>
  </si>
  <si>
    <t>Best Rogowski CB, Bredell C, Shi Y, Tien-Smith A, Szybka M, Fung KW, Hong L, Phillips V, Jovanovic Andersen Z, Sharp SJ, Woodcock J, Brayne C, Navaratnam A, Khreis H. Long-term air pollution exposure and incident dementia: a systematic review and meta-analysis. Lancet Planet Health. 2025 Jul;9(7):101266.</t>
  </si>
  <si>
    <t>https://pubmed.ncbi.nlm.nih.gov/40716448/</t>
  </si>
  <si>
    <t>Summary of COMEAP recommendations for the quantification of health effects associated with air pollutants. Didcot: Health Protection Agency</t>
  </si>
  <si>
    <t>https://assets.publishing.service.gov.uk/media/64fadfdea78c5f0014265847/COMEAP_Quantification_recommendations.pdf</t>
  </si>
  <si>
    <t>Forastiere et al, 2024</t>
  </si>
  <si>
    <t>Forastiere F, Spadaro JV, Ancona C, Jovanovic Andersen Z, Cozzi I, Gumy S, Loncar D, Mudu P, Medina S, Perez Velasco R, Walton H, Zhang J, Krzyzanowski M. Choices of morbidity outcomes and concentration-response functions for health risk assessment of long-term exposure to air pollution. Environ Epidemiol. 2024 Jun 25;8(4):e314.</t>
  </si>
  <si>
    <t xml:space="preserve">https://pubmed.ncbi.nlm.nih.gov/39045486/ </t>
  </si>
  <si>
    <t>Health Effects Institute - Annual Report 2022.</t>
  </si>
  <si>
    <t>https://www.healtheffects.org/sites/default/files/hei-annual-report-2022.pdf</t>
  </si>
  <si>
    <t>Héroux et al, 2015</t>
  </si>
  <si>
    <t>Héroux ME, Anderson HR, Atkinson R, Brunekreef B, Cohen A, Forastiere F, Hurley F, Katsouyanni K, Krewski D, Krzyzanowski M, Künzli N, Mills I, Querol X, Ostro B, Walton H. Quantifying the health impacts of ambient air pollutants: recommendations of a WHO/Europe project. Int J Public Health. 2015 Jul;60(5):619-27.</t>
  </si>
  <si>
    <t>https://pubmed.ncbi.nlm.nih.gov/26024815/</t>
  </si>
  <si>
    <t>Kasdagli et al, 2024</t>
  </si>
  <si>
    <t xml:space="preserve">Kasdagli MI, Orellano P, Pérez Velasco R, Samoli E. Long-Term Exposure to Nitrogen Dioxide and Ozone and Mortality: Update of the WHO Air Quality Guidelines Systematic Review and Meta-Analysis. Int J Public Health. 2024 Oct 18;69:1607676. </t>
  </si>
  <si>
    <t>https://pubmed.ncbi.nlm.nih.gov/39494092/</t>
  </si>
  <si>
    <t>Khreis H, Kelly C, Tate J, Parslow R, Lucas K, Nieuwenhuijsen M. Exposure to traffic-related air pollution and risk of development of childhood asthma: A systematic review and meta-analysis. Environ Int. 2017 Mar;100:1-31.</t>
  </si>
  <si>
    <t>https://pubmed.ncbi.nlm.nih.gov/27881237/</t>
  </si>
  <si>
    <t>Liu C, Chen R, Sera F, Vicedo-Cabrera AM, Guo Y, Tong S, Coelho MSZS, Saldiva PHN, Lavigne E, Matus P, Valdes Ortega N, Osorio Garcia S, Pascal M, Stafoggia M, Scortichini M, Hashizume M, Honda Y, Hurtado-Díaz M, Cruz J, Nunes B, Teixeira JP, Kim H, Tobias A, Íñiguez C, Forsberg B, Åström C, Ragettli MS, Guo YL, Chen BY, Bell ML, Wright CY, Scovronick N, Garland RM, Milojevic A, Kyselý J, Urban A, Orru H, Indermitte E, Jaakkola JJK, Ryti NRI, Katsouyanni K, Analitis A, Zanobetti A, Schwartz J, Chen J, Wu T, Cohen A, Gasparrini A, Kan H. Ambient Particulate Air Pollution and Daily Mortality in 652 Cities. N Engl J Med. 2019 Aug 22;381(8):705-715.</t>
  </si>
  <si>
    <t>https://pubmed.ncbi.nlm.nih.gov/31433918/</t>
  </si>
  <si>
    <t xml:space="preserve">Meng et al., 2021 </t>
  </si>
  <si>
    <t>Meng X, Liu C, Chen R, Sera F, Vicedo-Cabrera AM, Milojevic A, Guo Y, Tong S, Coelho MSZS, Saldiva PHN, Lavigne E, Correa PM, Ortega NV, Osorio S, Garcia, Kyselý J, Urban A, Orru H, Maasikmets M, Jaakkola JJK, Ryti N, Huber V, Schneider A, Katsouyanni K, Analitis A, Hashizume M, Honda Y, Ng CFS, Nunes B, Teixeira JP, Holobaca IH, Fratianni S, Kim H, Tobias A, Íñiguez C, Forsberg B, Åström C, Ragettli MS, Guo YL, Pan SC, Li S, Bell ML, Zanobetti A, Schwartz J, Wu T, Gasparrini A, Kan H. Short term associations of ambient nitrogen dioxide with daily total, cardiovascular, and respiratory mortality: multilocation analysis in 398 cities. BMJ. 2021 Mar 24;372:n534.</t>
  </si>
  <si>
    <t>https://pubmed.ncbi.nlm.nih.gov/33762259/</t>
  </si>
  <si>
    <t xml:space="preserve">Mills IC, Atkinson RW, Kang S, Walton H, Anderson HR. Quantitative systematic review of the associations between short-term exposure to nitrogen dioxide and mortality and hospital admissions. BMJ Open. 2015 May 11;5(5):e006946. </t>
  </si>
  <si>
    <t>https://pubmed.ncbi.nlm.nih.gov/25967992/</t>
  </si>
  <si>
    <t xml:space="preserve">O'Brien E, Masselot P, Sera F, Roye D, Breitner S, Ng CFS, de Sousa Zanotti Stagliorio Coelho M, Madureira J, Tobias A, Vicedo-Cabrera AM, Bell ML, Lavigne E, Kan H, Gasparrini A; MCC Collaborative Research Network. Short-Term Association between Sulfur Dioxide and Mortality: A Multicountry Analysis in 399 Cities. Environ Health Perspect. 2023 Mar;131(3):37002. </t>
  </si>
  <si>
    <t>https://pubmed.ncbi.nlm.nih.gov/36883823/</t>
  </si>
  <si>
    <t>Orellano P, Reynoso J, Quaranta N, Bardach A, Ciapponi A. Short-term exposure to particulate matter (PM10 and PM2.5), nitrogen dioxide (NO2), and ozone (O3) and all-cause and cause-specific mortality: Systematic review and meta-analysis. Environ Int. 2020 Sep;142:105876.</t>
  </si>
  <si>
    <t>https://pubmed.ncbi.nlm.nih.gov/32590284/</t>
  </si>
  <si>
    <t xml:space="preserve">Orellano et al, 2021 </t>
  </si>
  <si>
    <t>Orellano P, Reynoso J, Quaranta N. Short-term exposure to sulphur dioxide (SO2) and all-cause and respiratory mortality: A systematic review and meta-analysis. Environ Int. 2021 May;150:106434.</t>
  </si>
  <si>
    <t>https://pubmed.ncbi.nlm.nih.gov/33601225/</t>
  </si>
  <si>
    <t>Orellano P, Kasdagli MI, Pérez Velasco R, Samoli E. Long-Term Exposure to Particulate Matter and Mortality: An Update of the WHO Global Air Quality Guidelines Systematic Review and Meta-Analysis. Int J Public Health. 2024 Sep 27;69:1607683.</t>
  </si>
  <si>
    <t>https://pubmed.ncbi.nlm.nih.gov/39399882/</t>
  </si>
  <si>
    <t xml:space="preserve">Park J, Kim HJ, Lee CH, Lee CH, Lee HW. Impact of long-term exposure to ambient air pollution on the incidence of chronic obstructive pulmonary disease: A systematic review and meta-analysis. Environ Res. 2021 Mar;194:110703. </t>
  </si>
  <si>
    <t>https://pubmed.ncbi.nlm.nih.gov/33417909/</t>
  </si>
  <si>
    <t>Vicedo-Cabrera AM, Sera F, Liu C, Armstrong B, Milojevic A, Guo Y, Tong S, Lavigne E, Kyselý J, Urban A, Orru H, Indermitte E, Pascal M, Huber V, Schneider A, Katsouyanni K, Samoli E, Stafoggia M, Scortichini M, Hashizume M, Honda Y, Ng CFS, Hurtado-Diaz M, Cruz J, Silva S, Madureira J, Scovronick N, Garland RM, Kim H, Tobias A, Íñiguez C, Forsberg B, Åström C, Ragettli MS, Röösli M, Guo YL, Chen BY, Zanobetti A, Schwartz J, Bell ML, Kan H, Gasparrini A. Short term association between ozone and mortality: global two stage time series study in 406 locations in 20 countries. BMJ. 2020 Feb 10;368:m108.</t>
  </si>
  <si>
    <t>https://pubmed.ncbi.nlm.nih.gov/32041707/</t>
  </si>
  <si>
    <t>Yu P, Guo S, Xu R, Ye T, Li S, Sim MR, Abramson MJ, Guo Y. Cohort studies of long-term exposure to outdoor particulate matter and risks of cancer: A systematic review and meta-analysis. Innovation (Camb). 2021 Jul 13;2(3):100143.</t>
  </si>
  <si>
    <t>https://pubmed.ncbi.nlm.nih.gov/34557780/</t>
  </si>
  <si>
    <t>CHEM</t>
  </si>
  <si>
    <t xml:space="preserve">Hwang S, Lim JE, Choi Y, Jee SH. Bisphenol A exposure and type 2 diabetes mellitus risk: a meta-analysis. BMC Endocr Disord. 2018 Nov 6;18(1):81. </t>
  </si>
  <si>
    <t>https://pubmed.ncbi.nlm.nih.gov/30400886/</t>
  </si>
  <si>
    <t>IRIS database.</t>
  </si>
  <si>
    <t>https://www.epa.gov/iris</t>
  </si>
  <si>
    <t xml:space="preserve">Issanov A, Adewusi B, Saint-Jacques N, Dummer TJB. Arsenic in drinking water and lung cancer: A systematic review of 35 years of evidence. Toxicol Appl Pharmacol. 2024 Feb;483:116808. </t>
  </si>
  <si>
    <t>https://pubmed.ncbi.nlm.nih.gov/38218206/</t>
  </si>
  <si>
    <t>Khalade A, Jaakkola MS, Pukkala E, Jaakkola JJ. Exposure to benzene at work and the risk of leukemia: a systematic review and meta-analysis. Environ Health. 2010 Jun 28;9:31.</t>
  </si>
  <si>
    <t>https://pubmed.ncbi.nlm.nih.gov/20584305/</t>
  </si>
  <si>
    <t>Lee KK, Spath N, Miller MR, Mills NL, Shah ASV. Short-term exposure to carbon monoxide and myocardial infarction: A systematic review and meta-analysis. Environ Int. 2020 Oct;143:105901.</t>
  </si>
  <si>
    <t>https://pubmed.ncbi.nlm.nih.gov/32634667/</t>
  </si>
  <si>
    <t xml:space="preserve">Picetti R, Deeney M, Pastorino S, Miller MR, Shah A, Leon DA, Dangour AD, Green R. Nitrate and nitrite contamination in drinking water and cancer risk: A systematic review with meta-analysis. Environ Res. 2022 Jul;210:112988. </t>
  </si>
  <si>
    <t>https://pubmed.ncbi.nlm.nih.gov/35217009/</t>
  </si>
  <si>
    <t>WHO, 2000. Air quality guidelines for Europe ; second edition</t>
  </si>
  <si>
    <t>https://iris.who.int/server/api/core/bitstreams/7107999d-7e53-47aa-90e8-bb1d162ff46e/content</t>
  </si>
  <si>
    <t>Xu L, Mondal D, Polya DA. Positive Association of Cardiovascular Disease (CVD) with Chronic Exposure to Drinking Water Arsenic (As) at Concentrations below the WHO Provisional Guideline Value: A Systematic Review and Meta-Analysis. Int J Environ Res Public Health. 2020 Apr 7;17(7):2536. doi: 10.3390/ijerph17072536. Erratum in: Int J Environ Res Public Health. 2020 Dec 02;17(23):E8947.</t>
  </si>
  <si>
    <t>https://pubmed.ncbi.nlm.nih.gov/32272785/</t>
  </si>
  <si>
    <t>QALY and disease length</t>
  </si>
  <si>
    <t>Ara &amp; Brazier 2010</t>
  </si>
  <si>
    <t>Ara R, Brazier JE. Using health state utility values from the general population to approximate baselines in decision analytic models when condition-specific data are not available. Value Health. 2011 Jun;14(4):539-45.</t>
  </si>
  <si>
    <t>https://pubmed.ncbi.nlm.nih.gov/21669378/</t>
  </si>
  <si>
    <t xml:space="preserve">CEA Registry managed by Tufts University School of Medicine and UK National Institute for Health and Care Excellence (NICE) guidance documents </t>
  </si>
  <si>
    <t xml:space="preserve">Delam H, Zare R, Keshtkaran Z, Eidi A, Moradi Sarcheshmeh MS, Shahedi A, Hassanipour S, Abdollahpour-Alitappeh M, Amini-Salehi E. Five-year survival rate of kidney cancer (localized renal cell carcinoma) in the Asia: A systematic review and meta-analysis. Medicine (Baltimore). 2025 Aug 22;104(34):e43867. </t>
  </si>
  <si>
    <t>https://pubmed.ncbi.nlm.nih.gov/40859566/</t>
  </si>
  <si>
    <t>Lavelle et al, 2014</t>
  </si>
  <si>
    <t xml:space="preserve">Lavelle TA, Weinstein MC, Newhouse JP, Munir K, Kuhlthau KA, Prosser LA. Economic burden of childhood autism spectrum disorders. Pediatrics. 2014 Mar;133(3):e520-9. </t>
  </si>
  <si>
    <t>https://pubmed.ncbi.nlm.nih.gov/24515505/</t>
  </si>
  <si>
    <t>Manzano et al, 2025</t>
  </si>
  <si>
    <t>Manzano A, Svedman C, Hofmarcher T, Wilking N. Comparator Report on Cancer in Europe 2025 - Disease Burden, Costs and Access to Medicines and Molecular Diagnostics. IHE REPORT 2025:2. IHE: Lund, Sweden.</t>
  </si>
  <si>
    <t>https://www.efpia.eu/media/nbbbsbhp/ihe-comparator-report-on-cancer-in-europe-2025.pdf</t>
  </si>
  <si>
    <t>Sullivan &amp; Ghushchyan 2006</t>
  </si>
  <si>
    <t>Sullivan PW, Ghushchyan V. Preference-Based EQ-5D index scores for chronic conditions in the United States. Med Decis Making. 2006 Jul-Aug;26(4):410-20.</t>
  </si>
  <si>
    <t>https://pubmed.ncbi.nlm.nih.gov/16855129/</t>
  </si>
  <si>
    <t>vad Dorst et al, 2024</t>
  </si>
  <si>
    <t>van Dorst, P. , Veijer, C., Rojas-Garcia, P., van der Velden, A.W., Harper, E., Butler, C., Postma, M.J., van der Pol, S.,  van Asselt, A.D.I. 2024.The impact of community-acquired acute respiratory tract infection: disutility estimates for sixteen European countries. PCR59</t>
  </si>
  <si>
    <t>https://www.ispor.org/docs/default-source/euro2024/ispor24---qaly-final144320-pdf.pdf?sfvrsn=33d5788e_0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</si>
</sst>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
    <numFmt numFmtId="166" formatCode="0.0"/>
    <numFmt numFmtId="167" formatCode="0.0000"/>
    <numFmt numFmtId="168" formatCode="0.0000000"/>
  </numFmts>
  <fonts count="17">
    <font>
      <sz val="11"/>
      <color theme="1"/>
      <name val="Calibri"/>
      <family val="2"/>
      <scheme val="minor"/>
    </font>
    <font>
      <sz val="11"/>
      <color rgb="FFFF0000"/>
      <name val="Calibri"/>
      <family val="2"/>
      <scheme val="minor"/>
    </font>
    <font>
      <b/>
      <sz val="11"/>
      <color theme="1"/>
      <name val="Calibri"/>
      <family val="2"/>
      <scheme val="minor"/>
    </font>
    <font>
      <b/>
      <sz val="12"/>
      <name val="Calibri"/>
      <family val="2"/>
      <scheme val="minor"/>
    </font>
    <font>
      <sz val="12"/>
      <name val="Calibri"/>
      <family val="2"/>
      <scheme val="minor"/>
    </font>
    <font>
      <vertAlign val="subscript"/>
      <sz val="12"/>
      <name val="Calibri"/>
      <family val="2"/>
      <scheme val="minor"/>
    </font>
    <font>
      <sz val="12"/>
      <color rgb="FF0000FF"/>
      <name val="Calibri"/>
      <family val="2"/>
      <scheme val="minor"/>
    </font>
    <font>
      <sz val="11"/>
      <name val="Calibri"/>
      <family val="2"/>
      <scheme val="minor"/>
    </font>
    <font>
      <sz val="12"/>
      <color theme="1"/>
      <name val="Calibri"/>
      <family val="2"/>
      <scheme val="minor"/>
    </font>
    <font>
      <sz val="10"/>
      <color rgb="FFFF0000"/>
      <name val="Aptos"/>
      <family val="2"/>
    </font>
    <font>
      <u/>
      <sz val="11"/>
      <color theme="10"/>
      <name val="Calibri"/>
      <family val="2"/>
      <scheme val="minor"/>
    </font>
    <font>
      <b/>
      <sz val="11"/>
      <color rgb="FFFF0000"/>
      <name val="Calibri"/>
      <family val="2"/>
      <scheme val="minor"/>
    </font>
    <font>
      <sz val="12"/>
      <name val="Aptos Narrow"/>
      <family val="2"/>
    </font>
    <font>
      <b/>
      <sz val="11"/>
      <color theme="1"/>
      <name val="Calibri  "/>
    </font>
    <font>
      <sz val="11"/>
      <name val="Calibri  "/>
    </font>
    <font>
      <sz val="11"/>
      <color theme="1"/>
      <name val="Calibri  "/>
    </font>
    <font>
      <u/>
      <sz val="11"/>
      <color theme="10"/>
      <name val="Calibri  "/>
    </font>
  </fonts>
  <fills count="20">
    <fill>
      <patternFill patternType="none"/>
    </fill>
    <fill>
      <patternFill patternType="gray125"/>
    </fill>
    <fill>
      <patternFill patternType="solid">
        <fgColor rgb="FFCCFFCC"/>
        <bgColor indexed="64"/>
      </patternFill>
    </fill>
    <fill>
      <patternFill patternType="solid">
        <fgColor rgb="FF00B05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FFCC"/>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FFFF"/>
        <bgColor indexed="64"/>
      </patternFill>
    </fill>
    <fill>
      <patternFill patternType="solid">
        <fgColor rgb="FFFFCCFF"/>
        <bgColor indexed="64"/>
      </patternFill>
    </fill>
    <fill>
      <patternFill patternType="solid">
        <fgColor rgb="FFFFFF00"/>
        <bgColor indexed="64"/>
      </patternFill>
    </fill>
    <fill>
      <patternFill patternType="solid">
        <fgColor theme="4" tint="0.3999755851924192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thin">
        <color indexed="64"/>
      </left>
      <right/>
      <top/>
      <bottom/>
      <diagonal/>
    </border>
    <border>
      <left/>
      <right/>
      <top/>
      <bottom style="thin">
        <color theme="5"/>
      </bottom>
      <diagonal/>
    </border>
    <border>
      <left style="medium">
        <color indexed="64"/>
      </left>
      <right/>
      <top/>
      <bottom style="thin">
        <color theme="5"/>
      </bottom>
      <diagonal/>
    </border>
    <border>
      <left style="thin">
        <color indexed="64"/>
      </left>
      <right/>
      <top/>
      <bottom style="thin">
        <color theme="5"/>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theme="5"/>
      </bottom>
      <diagonal/>
    </border>
    <border>
      <left style="thin">
        <color indexed="64"/>
      </left>
      <right style="thin">
        <color indexed="64"/>
      </right>
      <top/>
      <bottom style="thin">
        <color theme="5"/>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theme="5"/>
      </bottom>
      <diagonal/>
    </border>
    <border>
      <left/>
      <right style="medium">
        <color indexed="64"/>
      </right>
      <top/>
      <bottom style="thin">
        <color theme="5"/>
      </bottom>
      <diagonal/>
    </border>
    <border>
      <left style="medium">
        <color indexed="64"/>
      </left>
      <right style="thin">
        <color indexed="64"/>
      </right>
      <top/>
      <bottom/>
      <diagonal/>
    </border>
    <border>
      <left/>
      <right style="medium">
        <color indexed="64"/>
      </right>
      <top/>
      <bottom/>
      <diagonal/>
    </border>
  </borders>
  <cellStyleXfs count="2">
    <xf numFmtId="0" fontId="0" fillId="0" borderId="0"/>
    <xf numFmtId="0" fontId="10" fillId="0" borderId="0" applyNumberFormat="0" applyFill="0" applyBorder="0" applyAlignment="0" applyProtection="0"/>
  </cellStyleXfs>
  <cellXfs count="216">
    <xf numFmtId="0" fontId="0" fillId="0" borderId="0" xfId="0"/>
    <xf numFmtId="0" fontId="0" fillId="2" borderId="2" xfId="0" applyFill="1" applyBorder="1"/>
    <xf numFmtId="14" fontId="0" fillId="2" borderId="3" xfId="0" applyNumberFormat="1" applyFill="1" applyBorder="1"/>
    <xf numFmtId="0" fontId="3" fillId="3" borderId="4" xfId="0" applyFont="1" applyFill="1" applyBorder="1" applyAlignment="1">
      <alignment horizontal="center"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5" xfId="0" applyFont="1" applyFill="1" applyBorder="1" applyAlignment="1">
      <alignment horizontal="left" vertical="center"/>
    </xf>
    <xf numFmtId="0" fontId="4" fillId="5" borderId="4" xfId="0" applyFont="1" applyFill="1" applyBorder="1" applyAlignment="1">
      <alignment horizontal="center" vertical="center"/>
    </xf>
    <xf numFmtId="0" fontId="4" fillId="5" borderId="8" xfId="0" applyFont="1" applyFill="1" applyBorder="1" applyAlignment="1">
      <alignment vertical="center" wrapText="1"/>
    </xf>
    <xf numFmtId="0" fontId="4" fillId="5" borderId="9"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10" xfId="0" applyFont="1" applyFill="1" applyBorder="1" applyAlignment="1">
      <alignment vertical="center" wrapText="1"/>
    </xf>
    <xf numFmtId="0" fontId="4" fillId="6" borderId="10"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0" xfId="0" applyFont="1" applyBorder="1" applyAlignment="1">
      <alignment vertical="center" wrapText="1"/>
    </xf>
    <xf numFmtId="0" fontId="4" fillId="0" borderId="10" xfId="0" applyFont="1" applyBorder="1" applyAlignment="1">
      <alignment vertical="center"/>
    </xf>
    <xf numFmtId="0" fontId="6" fillId="0" borderId="1" xfId="0" applyFont="1" applyBorder="1" applyAlignment="1">
      <alignment vertical="center"/>
    </xf>
    <xf numFmtId="0" fontId="4" fillId="0" borderId="1" xfId="0" applyFont="1" applyBorder="1" applyAlignment="1">
      <alignment horizontal="center" vertical="center"/>
    </xf>
    <xf numFmtId="0" fontId="4" fillId="0" borderId="8" xfId="0" applyFont="1" applyBorder="1" applyAlignment="1">
      <alignment vertical="center" wrapText="1"/>
    </xf>
    <xf numFmtId="0" fontId="4" fillId="0" borderId="9" xfId="0" applyFont="1" applyBorder="1" applyAlignment="1">
      <alignment horizontal="center" vertical="center" wrapText="1"/>
    </xf>
    <xf numFmtId="0" fontId="4" fillId="0" borderId="9" xfId="0" applyFont="1" applyBorder="1" applyAlignment="1">
      <alignment horizontal="left" vertical="center" wrapText="1"/>
    </xf>
    <xf numFmtId="0" fontId="7" fillId="0" borderId="11" xfId="0" applyFont="1" applyBorder="1" applyAlignment="1">
      <alignment vertical="center"/>
    </xf>
    <xf numFmtId="0" fontId="4" fillId="7" borderId="8" xfId="0" applyFont="1" applyFill="1" applyBorder="1" applyAlignment="1">
      <alignment vertical="center" wrapText="1"/>
    </xf>
    <xf numFmtId="0" fontId="4" fillId="7" borderId="9" xfId="0" applyFont="1" applyFill="1" applyBorder="1" applyAlignment="1">
      <alignment horizontal="center" vertical="center" wrapText="1"/>
    </xf>
    <xf numFmtId="0" fontId="4" fillId="7" borderId="9" xfId="0" applyFont="1" applyFill="1" applyBorder="1" applyAlignment="1">
      <alignment horizontal="left" vertical="center" wrapText="1"/>
    </xf>
    <xf numFmtId="0" fontId="4" fillId="7" borderId="10" xfId="0" applyFont="1" applyFill="1" applyBorder="1" applyAlignment="1">
      <alignment vertical="center" wrapText="1"/>
    </xf>
    <xf numFmtId="0" fontId="4" fillId="7" borderId="10" xfId="0" applyFont="1" applyFill="1" applyBorder="1" applyAlignment="1">
      <alignment horizontal="center" vertical="center" wrapText="1"/>
    </xf>
    <xf numFmtId="0" fontId="8" fillId="0" borderId="10" xfId="0" applyFont="1" applyBorder="1" applyAlignment="1">
      <alignment horizontal="center" vertical="center" wrapText="1"/>
    </xf>
    <xf numFmtId="0" fontId="0" fillId="0" borderId="1" xfId="0" applyBorder="1" applyAlignment="1">
      <alignment vertical="center"/>
    </xf>
    <xf numFmtId="0" fontId="4" fillId="0" borderId="4" xfId="0" applyFont="1" applyBorder="1" applyAlignment="1">
      <alignment vertical="center"/>
    </xf>
    <xf numFmtId="0" fontId="8" fillId="0" borderId="1" xfId="0" applyFont="1" applyBorder="1" applyAlignment="1">
      <alignment vertical="center"/>
    </xf>
    <xf numFmtId="0" fontId="7" fillId="0" borderId="4" xfId="0" applyFont="1" applyBorder="1" applyAlignment="1">
      <alignment vertical="center"/>
    </xf>
    <xf numFmtId="0" fontId="4" fillId="8" borderId="8" xfId="0" applyFont="1" applyFill="1" applyBorder="1" applyAlignment="1">
      <alignment vertical="center" wrapText="1"/>
    </xf>
    <xf numFmtId="0" fontId="4" fillId="8" borderId="9" xfId="0" applyFont="1" applyFill="1" applyBorder="1" applyAlignment="1">
      <alignment horizontal="center" vertical="center" wrapText="1"/>
    </xf>
    <xf numFmtId="0" fontId="4" fillId="8" borderId="9" xfId="0" applyFont="1" applyFill="1" applyBorder="1" applyAlignment="1">
      <alignment horizontal="left" vertical="center" wrapText="1"/>
    </xf>
    <xf numFmtId="0" fontId="4" fillId="8" borderId="10" xfId="0" applyFont="1" applyFill="1" applyBorder="1" applyAlignment="1">
      <alignment vertical="center" wrapText="1"/>
    </xf>
    <xf numFmtId="0" fontId="4" fillId="8" borderId="10" xfId="0" applyFont="1" applyFill="1" applyBorder="1" applyAlignment="1">
      <alignment horizontal="center" vertical="center" wrapText="1"/>
    </xf>
    <xf numFmtId="0" fontId="4" fillId="9" borderId="8" xfId="0" applyFont="1" applyFill="1" applyBorder="1" applyAlignment="1">
      <alignment vertical="center" wrapText="1"/>
    </xf>
    <xf numFmtId="0" fontId="4" fillId="9" borderId="9" xfId="0" applyFont="1" applyFill="1" applyBorder="1" applyAlignment="1">
      <alignment horizontal="center" vertical="center" wrapText="1"/>
    </xf>
    <xf numFmtId="0" fontId="4" fillId="9" borderId="9" xfId="0" applyFont="1" applyFill="1" applyBorder="1" applyAlignment="1">
      <alignment horizontal="left" vertical="center" wrapText="1"/>
    </xf>
    <xf numFmtId="0" fontId="4" fillId="9" borderId="10" xfId="0" applyFont="1" applyFill="1" applyBorder="1" applyAlignment="1">
      <alignment vertical="center" wrapText="1"/>
    </xf>
    <xf numFmtId="0" fontId="4" fillId="9" borderId="10" xfId="0" applyFont="1" applyFill="1" applyBorder="1" applyAlignment="1">
      <alignment horizontal="center" vertical="center" wrapText="1"/>
    </xf>
    <xf numFmtId="0" fontId="7" fillId="0" borderId="1" xfId="0" applyFont="1" applyBorder="1" applyAlignment="1">
      <alignment vertical="center"/>
    </xf>
    <xf numFmtId="0" fontId="4" fillId="0" borderId="1" xfId="0" applyFont="1" applyBorder="1" applyAlignment="1">
      <alignment vertical="center"/>
    </xf>
    <xf numFmtId="0" fontId="6" fillId="0" borderId="4" xfId="0" applyFont="1" applyBorder="1" applyAlignment="1">
      <alignment vertical="center"/>
    </xf>
    <xf numFmtId="0" fontId="4" fillId="5" borderId="1" xfId="0" applyFont="1" applyFill="1" applyBorder="1" applyAlignment="1">
      <alignment horizontal="center" vertical="center"/>
    </xf>
    <xf numFmtId="0" fontId="8" fillId="0" borderId="11" xfId="0" applyFont="1" applyBorder="1" applyAlignment="1">
      <alignment vertical="center"/>
    </xf>
    <xf numFmtId="0" fontId="4" fillId="0" borderId="12" xfId="0" applyFont="1" applyBorder="1" applyAlignment="1">
      <alignment vertical="center" wrapText="1"/>
    </xf>
    <xf numFmtId="0" fontId="4" fillId="0" borderId="13" xfId="0" applyFont="1" applyBorder="1" applyAlignment="1">
      <alignment horizontal="center" vertical="center" wrapText="1"/>
    </xf>
    <xf numFmtId="0" fontId="4" fillId="0" borderId="13" xfId="0" applyFont="1" applyBorder="1" applyAlignment="1">
      <alignment horizontal="left" vertical="center" wrapText="1"/>
    </xf>
    <xf numFmtId="0" fontId="4" fillId="0" borderId="2" xfId="0" applyFont="1" applyBorder="1" applyAlignment="1">
      <alignment vertical="center" wrapText="1"/>
    </xf>
    <xf numFmtId="0" fontId="4" fillId="6"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xf>
    <xf numFmtId="0" fontId="6" fillId="0" borderId="11" xfId="0" applyFont="1" applyBorder="1" applyAlignment="1">
      <alignment vertical="center"/>
    </xf>
    <xf numFmtId="0" fontId="0" fillId="0" borderId="4" xfId="0" applyBorder="1" applyAlignment="1">
      <alignment vertical="center"/>
    </xf>
    <xf numFmtId="0" fontId="8" fillId="0" borderId="4"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horizontal="center" vertical="center"/>
    </xf>
    <xf numFmtId="0" fontId="4" fillId="6" borderId="10" xfId="0" applyFont="1" applyFill="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vertical="center"/>
    </xf>
    <xf numFmtId="0" fontId="4" fillId="0" borderId="13" xfId="0" applyFont="1" applyBorder="1" applyAlignment="1">
      <alignment horizontal="center" vertical="center"/>
    </xf>
    <xf numFmtId="0" fontId="4" fillId="6" borderId="2" xfId="0" applyFont="1" applyFill="1" applyBorder="1" applyAlignment="1">
      <alignment horizontal="center" vertical="center"/>
    </xf>
    <xf numFmtId="0" fontId="4" fillId="0" borderId="2" xfId="0" applyFont="1" applyBorder="1" applyAlignment="1">
      <alignment horizontal="center" vertical="center"/>
    </xf>
    <xf numFmtId="0" fontId="0" fillId="0" borderId="11" xfId="0" applyBorder="1" applyAlignment="1">
      <alignment vertical="center"/>
    </xf>
    <xf numFmtId="0" fontId="4" fillId="0" borderId="0" xfId="0" applyFont="1" applyAlignment="1">
      <alignment vertical="center"/>
    </xf>
    <xf numFmtId="0" fontId="4" fillId="0" borderId="14" xfId="0" applyFont="1" applyBorder="1" applyAlignment="1">
      <alignment horizontal="center" vertical="center"/>
    </xf>
    <xf numFmtId="0" fontId="4" fillId="0" borderId="14" xfId="0" applyFont="1" applyBorder="1" applyAlignment="1">
      <alignment horizontal="left" vertical="center"/>
    </xf>
    <xf numFmtId="0" fontId="4" fillId="0" borderId="15" xfId="0" applyFont="1" applyBorder="1" applyAlignment="1">
      <alignment vertical="center"/>
    </xf>
    <xf numFmtId="0" fontId="4" fillId="6" borderId="15" xfId="0" applyFont="1" applyFill="1" applyBorder="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7" fillId="0" borderId="11" xfId="0" applyFont="1" applyBorder="1" applyAlignment="1">
      <alignment horizontal="center" vertical="center"/>
    </xf>
    <xf numFmtId="0" fontId="4" fillId="0" borderId="16" xfId="0" applyFont="1" applyBorder="1" applyAlignment="1">
      <alignment vertical="center"/>
    </xf>
    <xf numFmtId="0" fontId="4" fillId="0" borderId="17" xfId="0" applyFont="1" applyBorder="1" applyAlignment="1">
      <alignment horizontal="center" vertical="center"/>
    </xf>
    <xf numFmtId="0" fontId="4" fillId="0" borderId="17" xfId="0" applyFont="1" applyBorder="1" applyAlignment="1">
      <alignment horizontal="left" vertical="center"/>
    </xf>
    <xf numFmtId="0" fontId="4" fillId="0" borderId="18" xfId="0" applyFont="1" applyBorder="1" applyAlignment="1">
      <alignment vertical="center"/>
    </xf>
    <xf numFmtId="0" fontId="4" fillId="6" borderId="18" xfId="0" applyFont="1" applyFill="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20" xfId="0" applyFont="1" applyBorder="1" applyAlignment="1">
      <alignment vertical="center"/>
    </xf>
    <xf numFmtId="0" fontId="4" fillId="0" borderId="11" xfId="0" applyFont="1" applyBorder="1" applyAlignment="1">
      <alignment vertical="center"/>
    </xf>
    <xf numFmtId="0" fontId="4" fillId="6" borderId="20" xfId="0" applyFont="1" applyFill="1" applyBorder="1" applyAlignment="1">
      <alignment horizontal="center" vertical="center"/>
    </xf>
    <xf numFmtId="0" fontId="4" fillId="0" borderId="20" xfId="0" applyFont="1" applyBorder="1" applyAlignment="1">
      <alignment horizontal="center" vertical="center"/>
    </xf>
    <xf numFmtId="0" fontId="4" fillId="0" borderId="11" xfId="0" applyFont="1" applyBorder="1" applyAlignment="1">
      <alignment horizontal="center" vertical="center"/>
    </xf>
    <xf numFmtId="0" fontId="9" fillId="0" borderId="0" xfId="0" applyFont="1"/>
    <xf numFmtId="0" fontId="4" fillId="0" borderId="21" xfId="0" applyFont="1" applyBorder="1" applyAlignment="1">
      <alignment vertical="center"/>
    </xf>
    <xf numFmtId="0" fontId="4" fillId="0" borderId="8" xfId="0" applyFont="1" applyBorder="1" applyAlignment="1">
      <alignment horizontal="center" vertical="center" wrapText="1"/>
    </xf>
    <xf numFmtId="0" fontId="8"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3" fillId="3" borderId="10" xfId="0" applyFont="1" applyFill="1" applyBorder="1" applyAlignment="1">
      <alignment horizontal="left" vertical="center" wrapText="1"/>
    </xf>
    <xf numFmtId="0" fontId="3" fillId="3" borderId="4" xfId="0" applyFont="1" applyFill="1" applyBorder="1" applyAlignment="1">
      <alignment horizontal="left" vertical="center" wrapText="1"/>
    </xf>
    <xf numFmtId="0" fontId="4" fillId="0" borderId="4" xfId="0" applyFont="1" applyBorder="1" applyAlignment="1">
      <alignment horizontal="center" vertical="center" wrapText="1"/>
    </xf>
    <xf numFmtId="0" fontId="8"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3" fillId="3" borderId="8" xfId="0" applyFont="1" applyFill="1" applyBorder="1" applyAlignment="1">
      <alignment horizontal="left" vertical="center" wrapText="1"/>
    </xf>
    <xf numFmtId="0" fontId="4" fillId="0" borderId="4" xfId="0" applyFont="1" applyBorder="1" applyAlignment="1">
      <alignment vertical="center" wrapText="1"/>
    </xf>
    <xf numFmtId="0" fontId="8" fillId="0" borderId="4" xfId="0" applyFont="1" applyBorder="1" applyAlignment="1">
      <alignment vertical="center" wrapText="1"/>
    </xf>
    <xf numFmtId="0" fontId="4" fillId="0" borderId="1" xfId="0" applyFont="1" applyBorder="1" applyAlignment="1">
      <alignment vertical="center" wrapText="1"/>
    </xf>
    <xf numFmtId="0" fontId="4" fillId="0" borderId="23" xfId="0" applyFont="1" applyBorder="1" applyAlignment="1">
      <alignment horizontal="center" vertical="center"/>
    </xf>
    <xf numFmtId="0" fontId="4" fillId="0" borderId="22" xfId="0" applyFont="1" applyBorder="1" applyAlignment="1">
      <alignment vertical="center"/>
    </xf>
    <xf numFmtId="0" fontId="4" fillId="0" borderId="3" xfId="0" applyFont="1" applyBorder="1" applyAlignment="1">
      <alignment vertical="center"/>
    </xf>
    <xf numFmtId="0" fontId="3" fillId="3" borderId="24" xfId="0" applyFont="1" applyFill="1" applyBorder="1" applyAlignment="1">
      <alignment horizontal="left" vertical="center" wrapText="1"/>
    </xf>
    <xf numFmtId="0" fontId="4" fillId="0" borderId="24" xfId="0" applyFont="1" applyBorder="1" applyAlignment="1">
      <alignment vertical="center" wrapText="1"/>
    </xf>
    <xf numFmtId="0" fontId="8" fillId="0" borderId="24" xfId="0" applyFont="1" applyBorder="1" applyAlignment="1">
      <alignment vertical="center" wrapText="1"/>
    </xf>
    <xf numFmtId="0" fontId="4" fillId="0" borderId="3" xfId="0" applyFont="1" applyBorder="1" applyAlignment="1">
      <alignment vertical="center" wrapText="1"/>
    </xf>
    <xf numFmtId="0" fontId="4" fillId="0" borderId="23" xfId="0" applyFont="1" applyBorder="1" applyAlignment="1">
      <alignment vertical="center"/>
    </xf>
    <xf numFmtId="0" fontId="6" fillId="0" borderId="3" xfId="0" applyFont="1" applyBorder="1" applyAlignment="1">
      <alignment vertical="center"/>
    </xf>
    <xf numFmtId="0" fontId="0" fillId="0" borderId="3" xfId="0" applyBorder="1" applyAlignment="1">
      <alignment vertical="center"/>
    </xf>
    <xf numFmtId="0" fontId="8" fillId="0" borderId="3" xfId="0" applyFont="1" applyBorder="1" applyAlignment="1">
      <alignment vertical="center"/>
    </xf>
    <xf numFmtId="0" fontId="7" fillId="0" borderId="3" xfId="0" applyFont="1" applyBorder="1" applyAlignment="1">
      <alignment vertical="center"/>
    </xf>
    <xf numFmtId="0" fontId="0" fillId="0" borderId="23" xfId="0" applyBorder="1" applyAlignment="1">
      <alignment vertical="center"/>
    </xf>
    <xf numFmtId="1" fontId="4" fillId="0" borderId="1" xfId="0" applyNumberFormat="1" applyFont="1" applyBorder="1" applyAlignment="1">
      <alignment vertical="center"/>
    </xf>
    <xf numFmtId="0" fontId="4" fillId="10" borderId="1" xfId="0" applyFont="1" applyFill="1" applyBorder="1" applyAlignment="1">
      <alignment vertical="center"/>
    </xf>
    <xf numFmtId="0" fontId="4" fillId="0" borderId="1" xfId="0" applyFont="1" applyBorder="1" applyAlignment="1">
      <alignment horizontal="left" vertical="center"/>
    </xf>
    <xf numFmtId="0" fontId="4" fillId="11" borderId="1" xfId="0" applyFont="1" applyFill="1" applyBorder="1" applyAlignment="1">
      <alignment horizontal="left" vertical="center"/>
    </xf>
    <xf numFmtId="164" fontId="4" fillId="12" borderId="2" xfId="0" applyNumberFormat="1" applyFont="1" applyFill="1" applyBorder="1" applyAlignment="1">
      <alignment horizontal="center" vertical="center"/>
    </xf>
    <xf numFmtId="0" fontId="4" fillId="12" borderId="12" xfId="0" applyFont="1" applyFill="1" applyBorder="1" applyAlignment="1">
      <alignment horizontal="center" vertical="center"/>
    </xf>
    <xf numFmtId="0" fontId="1" fillId="0" borderId="0" xfId="0" applyFont="1" applyAlignment="1">
      <alignment vertical="center"/>
    </xf>
    <xf numFmtId="0" fontId="4" fillId="11" borderId="1" xfId="0" applyFont="1" applyFill="1" applyBorder="1" applyAlignment="1">
      <alignment vertical="center"/>
    </xf>
    <xf numFmtId="0" fontId="4" fillId="13" borderId="1" xfId="0" applyFont="1" applyFill="1" applyBorder="1" applyAlignment="1">
      <alignment vertical="center"/>
    </xf>
    <xf numFmtId="0" fontId="4" fillId="14" borderId="1" xfId="0" applyFont="1" applyFill="1" applyBorder="1" applyAlignment="1">
      <alignment vertical="center"/>
    </xf>
    <xf numFmtId="165" fontId="4" fillId="12" borderId="2" xfId="0" applyNumberFormat="1" applyFont="1" applyFill="1" applyBorder="1" applyAlignment="1">
      <alignment horizontal="center" vertical="center"/>
    </xf>
    <xf numFmtId="0" fontId="11" fillId="0" borderId="0" xfId="0" applyFont="1" applyAlignment="1">
      <alignment vertical="center"/>
    </xf>
    <xf numFmtId="0" fontId="4" fillId="15" borderId="1" xfId="0" applyFont="1" applyFill="1" applyBorder="1" applyAlignment="1">
      <alignment vertical="center"/>
    </xf>
    <xf numFmtId="166" fontId="4" fillId="12" borderId="2"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6" fontId="4" fillId="12" borderId="12" xfId="0" applyNumberFormat="1" applyFont="1" applyFill="1" applyBorder="1" applyAlignment="1">
      <alignment horizontal="center" vertical="center"/>
    </xf>
    <xf numFmtId="0" fontId="4" fillId="15" borderId="1" xfId="0" applyFont="1" applyFill="1" applyBorder="1" applyAlignment="1">
      <alignment horizontal="center" vertical="center"/>
    </xf>
    <xf numFmtId="1" fontId="4" fillId="0" borderId="0" xfId="0" applyNumberFormat="1" applyFont="1" applyAlignment="1">
      <alignment vertical="center"/>
    </xf>
    <xf numFmtId="0" fontId="12" fillId="0" borderId="0" xfId="0" applyFont="1" applyAlignment="1">
      <alignment vertical="center"/>
    </xf>
    <xf numFmtId="0" fontId="4" fillId="16" borderId="1" xfId="0" applyFont="1" applyFill="1" applyBorder="1" applyAlignment="1">
      <alignment vertical="center"/>
    </xf>
    <xf numFmtId="167" fontId="4" fillId="12" borderId="2" xfId="0" applyNumberFormat="1" applyFont="1" applyFill="1" applyBorder="1" applyAlignment="1">
      <alignment horizontal="center" vertical="center"/>
    </xf>
    <xf numFmtId="168" fontId="4" fillId="12" borderId="2" xfId="0" applyNumberFormat="1" applyFont="1" applyFill="1" applyBorder="1" applyAlignment="1">
      <alignment horizontal="center" vertical="center"/>
    </xf>
    <xf numFmtId="168" fontId="4" fillId="0" borderId="1" xfId="0" applyNumberFormat="1" applyFont="1" applyBorder="1" applyAlignment="1">
      <alignment horizontal="center" vertical="center"/>
    </xf>
    <xf numFmtId="168" fontId="4" fillId="12" borderId="12" xfId="0" applyNumberFormat="1" applyFont="1" applyFill="1" applyBorder="1" applyAlignment="1">
      <alignment horizontal="center" vertical="center"/>
    </xf>
    <xf numFmtId="1" fontId="4" fillId="12" borderId="2"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165" fontId="4" fillId="12" borderId="12" xfId="0" applyNumberFormat="1" applyFont="1" applyFill="1" applyBorder="1" applyAlignment="1">
      <alignment horizontal="center" vertical="center"/>
    </xf>
    <xf numFmtId="168" fontId="4" fillId="0" borderId="12" xfId="0" applyNumberFormat="1" applyFont="1" applyBorder="1" applyAlignment="1">
      <alignment horizontal="center" vertical="center"/>
    </xf>
    <xf numFmtId="0" fontId="4" fillId="0" borderId="23" xfId="0" applyFont="1" applyBorder="1" applyAlignment="1">
      <alignment horizontal="left" vertical="center"/>
    </xf>
    <xf numFmtId="0" fontId="0" fillId="0" borderId="22" xfId="0" applyBorder="1" applyAlignment="1">
      <alignment vertical="center"/>
    </xf>
    <xf numFmtId="0" fontId="4" fillId="0" borderId="11" xfId="0" applyFont="1" applyBorder="1" applyAlignment="1">
      <alignment horizontal="left" vertical="center"/>
    </xf>
    <xf numFmtId="0" fontId="0" fillId="0" borderId="20" xfId="0" applyBorder="1" applyAlignment="1">
      <alignment vertical="center"/>
    </xf>
    <xf numFmtId="168" fontId="4" fillId="0" borderId="2" xfId="0" applyNumberFormat="1" applyFont="1" applyBorder="1" applyAlignment="1">
      <alignment horizontal="center" vertical="center"/>
    </xf>
    <xf numFmtId="1" fontId="4" fillId="11" borderId="1" xfId="0" applyNumberFormat="1" applyFont="1" applyFill="1" applyBorder="1" applyAlignment="1">
      <alignment vertical="center"/>
    </xf>
    <xf numFmtId="167" fontId="4" fillId="11" borderId="1" xfId="0" applyNumberFormat="1" applyFont="1" applyFill="1" applyBorder="1" applyAlignment="1">
      <alignment horizontal="center" vertical="center"/>
    </xf>
    <xf numFmtId="0" fontId="4" fillId="11" borderId="1" xfId="0" applyFont="1" applyFill="1" applyBorder="1" applyAlignment="1">
      <alignment horizontal="center" vertical="center"/>
    </xf>
    <xf numFmtId="167" fontId="4" fillId="11" borderId="2" xfId="0" applyNumberFormat="1" applyFont="1" applyFill="1" applyBorder="1" applyAlignment="1">
      <alignment horizontal="center" vertical="center"/>
    </xf>
    <xf numFmtId="167" fontId="4" fillId="11" borderId="12" xfId="0" applyNumberFormat="1" applyFont="1" applyFill="1" applyBorder="1" applyAlignment="1">
      <alignment horizontal="center" vertical="center"/>
    </xf>
    <xf numFmtId="0" fontId="3" fillId="3" borderId="7"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0" fillId="0" borderId="0" xfId="0" applyAlignment="1">
      <alignment horizontal="center"/>
    </xf>
    <xf numFmtId="0" fontId="7" fillId="0" borderId="0" xfId="0" applyFont="1" applyAlignment="1">
      <alignment horizontal="center"/>
    </xf>
    <xf numFmtId="0" fontId="10" fillId="0" borderId="1" xfId="1" applyBorder="1" applyAlignment="1">
      <alignment vertical="top"/>
    </xf>
    <xf numFmtId="0" fontId="13" fillId="3" borderId="1" xfId="0" applyFont="1" applyFill="1" applyBorder="1" applyAlignment="1">
      <alignment horizontal="left" vertical="top"/>
    </xf>
    <xf numFmtId="0" fontId="13" fillId="3" borderId="1" xfId="0" applyFont="1" applyFill="1" applyBorder="1" applyAlignment="1">
      <alignment vertical="top"/>
    </xf>
    <xf numFmtId="0" fontId="13" fillId="3" borderId="0" xfId="0" applyFont="1" applyFill="1" applyAlignment="1">
      <alignment horizontal="left" vertical="top"/>
    </xf>
    <xf numFmtId="0" fontId="13" fillId="2" borderId="0" xfId="0" applyFont="1" applyFill="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5" fillId="16" borderId="0" xfId="0" applyFont="1" applyFill="1" applyAlignment="1">
      <alignment horizontal="left" vertical="top"/>
    </xf>
    <xf numFmtId="0" fontId="15" fillId="0" borderId="1" xfId="0" applyFont="1" applyBorder="1" applyAlignment="1">
      <alignment horizontal="left" vertical="top" wrapText="1"/>
    </xf>
    <xf numFmtId="0" fontId="16" fillId="0" borderId="1" xfId="1" applyFont="1" applyBorder="1" applyAlignment="1">
      <alignment vertical="top"/>
    </xf>
    <xf numFmtId="0" fontId="15" fillId="0" borderId="1" xfId="0" applyFont="1" applyBorder="1"/>
    <xf numFmtId="0" fontId="15" fillId="17" borderId="0" xfId="0" applyFont="1" applyFill="1" applyAlignment="1">
      <alignment horizontal="left" vertical="top"/>
    </xf>
    <xf numFmtId="0" fontId="15" fillId="0" borderId="0" xfId="0" applyFont="1" applyAlignment="1">
      <alignment vertical="top"/>
    </xf>
    <xf numFmtId="0" fontId="15" fillId="0" borderId="1" xfId="0" applyFont="1" applyBorder="1" applyAlignment="1">
      <alignment vertical="top"/>
    </xf>
    <xf numFmtId="0" fontId="10" fillId="0" borderId="1" xfId="1" applyFill="1" applyBorder="1" applyAlignment="1">
      <alignment vertical="top"/>
    </xf>
    <xf numFmtId="3" fontId="0" fillId="0" borderId="5" xfId="0" applyNumberFormat="1" applyBorder="1" applyAlignment="1">
      <alignment horizontal="left" vertical="top" wrapText="1"/>
    </xf>
    <xf numFmtId="0" fontId="0" fillId="0" borderId="0" xfId="0" applyAlignment="1">
      <alignment horizontal="left" vertical="top" wrapText="1"/>
    </xf>
    <xf numFmtId="0" fontId="2" fillId="4" borderId="1" xfId="0" applyFont="1" applyFill="1" applyBorder="1" applyAlignment="1">
      <alignment horizontal="left" vertical="top" wrapText="1"/>
    </xf>
    <xf numFmtId="0" fontId="0" fillId="0" borderId="1" xfId="0" applyBorder="1" applyAlignment="1">
      <alignment horizontal="left" vertical="top" wrapText="1"/>
    </xf>
    <xf numFmtId="3" fontId="0" fillId="0" borderId="1" xfId="0" applyNumberFormat="1" applyBorder="1" applyAlignment="1">
      <alignment horizontal="left" vertical="top" wrapText="1"/>
    </xf>
    <xf numFmtId="2" fontId="7" fillId="0" borderId="1" xfId="0" applyNumberFormat="1" applyFont="1" applyBorder="1" applyAlignment="1">
      <alignment horizontal="left" vertical="top" wrapText="1"/>
    </xf>
    <xf numFmtId="0" fontId="4" fillId="0" borderId="1" xfId="0" applyFont="1" applyBorder="1" applyAlignment="1">
      <alignment horizontal="left" vertical="top" wrapText="1"/>
    </xf>
    <xf numFmtId="0" fontId="2" fillId="18" borderId="1" xfId="0" applyFont="1" applyFill="1" applyBorder="1" applyAlignment="1">
      <alignment horizontal="center" vertical="top" wrapText="1"/>
    </xf>
    <xf numFmtId="0" fontId="0" fillId="0" borderId="1" xfId="0" applyBorder="1" applyAlignment="1">
      <alignment horizontal="center" vertical="top" wrapText="1"/>
    </xf>
    <xf numFmtId="0" fontId="7" fillId="0" borderId="1" xfId="0" applyFont="1" applyBorder="1" applyAlignment="1">
      <alignment horizontal="center" vertical="top" wrapText="1"/>
    </xf>
    <xf numFmtId="0" fontId="2" fillId="4" borderId="1" xfId="0" applyFont="1" applyFill="1" applyBorder="1" applyAlignment="1">
      <alignment horizontal="center" vertical="top" wrapText="1"/>
    </xf>
    <xf numFmtId="0" fontId="0" fillId="0" borderId="0" xfId="0" applyAlignment="1">
      <alignment horizontal="left" vertical="top"/>
    </xf>
    <xf numFmtId="0" fontId="0" fillId="14" borderId="1" xfId="0" applyFill="1" applyBorder="1" applyAlignment="1">
      <alignment horizontal="left" vertical="top" wrapText="1"/>
    </xf>
    <xf numFmtId="0" fontId="10" fillId="0" borderId="1" xfId="1" applyBorder="1" applyAlignment="1">
      <alignment horizontal="left" vertical="top" wrapText="1"/>
    </xf>
    <xf numFmtId="0" fontId="4" fillId="0" borderId="24" xfId="0" applyFont="1" applyBorder="1" applyAlignment="1">
      <alignment vertical="center"/>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3" fillId="19" borderId="25" xfId="0" applyFont="1" applyFill="1" applyBorder="1" applyAlignment="1">
      <alignment horizontal="left" vertical="center" wrapText="1"/>
    </xf>
    <xf numFmtId="0" fontId="3" fillId="19" borderId="26" xfId="0" applyFont="1" applyFill="1" applyBorder="1" applyAlignment="1">
      <alignment horizontal="left" vertical="center" wrapText="1"/>
    </xf>
    <xf numFmtId="0" fontId="13" fillId="2" borderId="2" xfId="0" applyFont="1" applyFill="1" applyBorder="1" applyAlignment="1">
      <alignment horizontal="left" vertical="top"/>
    </xf>
    <xf numFmtId="0" fontId="13" fillId="2" borderId="12" xfId="0" applyFont="1" applyFill="1" applyBorder="1" applyAlignment="1">
      <alignment horizontal="left" vertical="top"/>
    </xf>
    <xf numFmtId="0" fontId="13" fillId="2" borderId="3" xfId="0" applyFont="1" applyFill="1" applyBorder="1" applyAlignment="1">
      <alignment horizontal="left" vertical="top"/>
    </xf>
    <xf numFmtId="0" fontId="13" fillId="16" borderId="2" xfId="0" applyFont="1" applyFill="1" applyBorder="1" applyAlignment="1">
      <alignment horizontal="left" vertical="top"/>
    </xf>
    <xf numFmtId="0" fontId="13" fillId="16" borderId="12" xfId="0" applyFont="1" applyFill="1" applyBorder="1" applyAlignment="1">
      <alignment horizontal="left" vertical="top"/>
    </xf>
    <xf numFmtId="0" fontId="13" fillId="16" borderId="3" xfId="0" applyFont="1" applyFill="1" applyBorder="1" applyAlignment="1">
      <alignment horizontal="left" vertical="top"/>
    </xf>
    <xf numFmtId="0" fontId="13" fillId="17" borderId="2" xfId="0" applyFont="1" applyFill="1" applyBorder="1" applyAlignment="1">
      <alignment horizontal="left" vertical="top"/>
    </xf>
    <xf numFmtId="0" fontId="13" fillId="17" borderId="12" xfId="0" applyFont="1" applyFill="1" applyBorder="1" applyAlignment="1">
      <alignment horizontal="left" vertical="top"/>
    </xf>
    <xf numFmtId="0" fontId="13" fillId="17" borderId="3" xfId="0" applyFont="1" applyFill="1" applyBorder="1" applyAlignment="1">
      <alignment horizontal="left" vertical="top"/>
    </xf>
  </cellXfs>
  <cellStyles count="2">
    <cellStyle name="Hyperlink" xfId="1" builtinId="8"/>
    <cellStyle name="Normal" xfId="0" builtinId="0"/>
  </cellStyles>
  <dxfs count="1">
    <dxf>
      <fill>
        <patternFill>
          <bgColor theme="0" tint="-4.9989318521683403E-2"/>
        </patternFill>
      </fill>
    </dxf>
  </dxfs>
  <tableStyles count="0" defaultTableStyle="TableStyleMedium2" defaultPivotStyle="PivotStyleLight16"/>
  <colors>
    <mruColors>
      <color rgb="FFFFCCFF"/>
      <color rgb="FFCC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504822</xdr:colOff>
      <xdr:row>2</xdr:row>
      <xdr:rowOff>171448</xdr:rowOff>
    </xdr:from>
    <xdr:to>
      <xdr:col>11</xdr:col>
      <xdr:colOff>304799</xdr:colOff>
      <xdr:row>27</xdr:row>
      <xdr:rowOff>180975</xdr:rowOff>
    </xdr:to>
    <xdr:sp macro="" textlink="">
      <xdr:nvSpPr>
        <xdr:cNvPr id="2" name="TextBox 1">
          <a:extLst>
            <a:ext uri="{FF2B5EF4-FFF2-40B4-BE49-F238E27FC236}">
              <a16:creationId xmlns:a16="http://schemas.microsoft.com/office/drawing/2014/main" id="{A784CAFB-7D7E-8326-E72C-F4E172D4573C}"/>
            </a:ext>
          </a:extLst>
        </xdr:cNvPr>
        <xdr:cNvSpPr txBox="1"/>
      </xdr:nvSpPr>
      <xdr:spPr>
        <a:xfrm>
          <a:off x="504822" y="552448"/>
          <a:ext cx="6734177" cy="47720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100" b="0" u="sng"/>
            <a:t>AIR outcomes</a:t>
          </a:r>
        </a:p>
        <a:p>
          <a:r>
            <a:rPr lang="sv-SE" sz="1100" b="0"/>
            <a:t>1. In</a:t>
          </a:r>
          <a:r>
            <a:rPr lang="sv-SE" sz="1100" b="0" baseline="0"/>
            <a:t> c</a:t>
          </a:r>
          <a:r>
            <a:rPr lang="sv-SE" sz="1100" b="0"/>
            <a:t>olumn</a:t>
          </a:r>
          <a:r>
            <a:rPr lang="sv-SE" sz="1100" b="0" baseline="0"/>
            <a:t> </a:t>
          </a:r>
          <a:r>
            <a:rPr lang="sv-SE" sz="1100" b="0" i="1" baseline="0"/>
            <a:t>DC</a:t>
          </a:r>
          <a:r>
            <a:rPr lang="sv-SE" sz="1100" b="0" baseline="0"/>
            <a:t>, health outcomes pairs associated with risk of double-counting (same impacts from different pollutants) are marked with capital letters. </a:t>
          </a:r>
        </a:p>
        <a:p>
          <a:r>
            <a:rPr lang="sv-SE" sz="1100" b="0" baseline="0"/>
            <a:t>2. For NO2 mortality due to NO2, we use age group 30+ instead of 15+ as specified in the original study. This is to keep consistency in the calculation of combined ERF due to exposure from NO2 and PM2.5. To furhter keep consistency between calculations of all-cause and cause-specific mortality from NO2 exposure, age group was set to 30+ for all long-term cause-specific NO2 mortality outcomes as well.</a:t>
          </a:r>
        </a:p>
        <a:p>
          <a:r>
            <a:rPr lang="sv-SE" sz="1100" b="0" baseline="0"/>
            <a:t>3. Columns </a:t>
          </a:r>
          <a:r>
            <a:rPr lang="sv-SE" sz="1100" b="0" i="1" baseline="0"/>
            <a:t>Set</a:t>
          </a:r>
          <a:r>
            <a:rPr lang="sv-SE" sz="1100" b="0" baseline="0"/>
            <a:t> and </a:t>
          </a:r>
          <a:r>
            <a:rPr lang="sv-SE" sz="1100" b="0" i="1" baseline="0"/>
            <a:t>Level </a:t>
          </a:r>
          <a:r>
            <a:rPr lang="sv-SE" sz="1100" b="0" baseline="0"/>
            <a:t>mark heath outcome groups where some outcomes (marked as 2 in column </a:t>
          </a:r>
          <a:r>
            <a:rPr lang="sv-SE" sz="1100" b="0" i="1" baseline="0"/>
            <a:t>Level</a:t>
          </a:r>
          <a:r>
            <a:rPr lang="sv-SE" sz="1100" b="0" baseline="0"/>
            <a:t>) are sub-categories of other health outcomes of higher ICD-10 level (marked as 1 in column</a:t>
          </a:r>
          <a:r>
            <a:rPr lang="sv-SE" sz="1100" b="0" i="1" baseline="0"/>
            <a:t> Level</a:t>
          </a:r>
          <a:r>
            <a:rPr lang="sv-SE" sz="1100" b="0" baseline="0"/>
            <a:t>).</a:t>
          </a:r>
        </a:p>
        <a:p>
          <a:r>
            <a:rPr lang="sv-SE" sz="1100" b="0" baseline="0"/>
            <a:t>4.  ERF for dementia is  processed from from original value per increment 5 to value per increment 10 (same as for all other AIR health outcomes).</a:t>
          </a:r>
        </a:p>
        <a:p>
          <a:r>
            <a:rPr lang="sv-SE" sz="1100" b="0" baseline="0"/>
            <a:t>5. For short-term natural mortality due to PM2.5, we use values from Liu et al, 2019, recommended by HRAPIE 2, 2025 (</a:t>
          </a:r>
          <a:r>
            <a:rPr lang="sv-SE" sz="1100" b="0" i="0" u="none" strike="noStrike">
              <a:solidFill>
                <a:schemeClr val="dk1"/>
              </a:solidFill>
              <a:effectLst/>
              <a:latin typeface="+mn-lt"/>
              <a:ea typeface="+mn-ea"/>
              <a:cs typeface="+mn-cs"/>
            </a:rPr>
            <a:t>1.0059;</a:t>
          </a:r>
          <a:r>
            <a:rPr lang="sv-SE"/>
            <a:t> </a:t>
          </a:r>
          <a:r>
            <a:rPr lang="sv-SE" sz="1100" b="0" i="0" u="none" strike="noStrike">
              <a:solidFill>
                <a:schemeClr val="dk1"/>
              </a:solidFill>
              <a:effectLst/>
              <a:latin typeface="+mn-lt"/>
              <a:ea typeface="+mn-ea"/>
              <a:cs typeface="+mn-cs"/>
            </a:rPr>
            <a:t>1.0068;</a:t>
          </a:r>
          <a:r>
            <a:rPr lang="sv-SE"/>
            <a:t> </a:t>
          </a:r>
          <a:r>
            <a:rPr lang="sv-SE" sz="1100" b="0" i="0" u="none" strike="noStrike">
              <a:solidFill>
                <a:schemeClr val="dk1"/>
              </a:solidFill>
              <a:effectLst/>
              <a:latin typeface="+mn-lt"/>
              <a:ea typeface="+mn-ea"/>
              <a:cs typeface="+mn-cs"/>
            </a:rPr>
            <a:t>1.0077).</a:t>
          </a:r>
          <a:r>
            <a:rPr lang="sv-SE" sz="1100" b="0" baseline="0"/>
            <a:t> Alternative values (1.0044; 1.0065; 1.0086) are avaialble in Orellano et al, 2020.</a:t>
          </a:r>
        </a:p>
        <a:p>
          <a:endParaRPr lang="sv-SE" sz="1100" b="0" baseline="0"/>
        </a:p>
        <a:p>
          <a:r>
            <a:rPr lang="sv-SE" sz="1100" b="0" u="sng" baseline="0"/>
            <a:t>CHEM outcomes</a:t>
          </a:r>
        </a:p>
        <a:p>
          <a:r>
            <a:rPr lang="sv-SE" sz="1100" b="0" i="0"/>
            <a:t>1. </a:t>
          </a:r>
          <a:r>
            <a:rPr lang="en-GB" sz="1100" i="0">
              <a:solidFill>
                <a:schemeClr val="dk1"/>
              </a:solidFill>
              <a:effectLst/>
              <a:latin typeface="+mn-lt"/>
              <a:ea typeface="+mn-ea"/>
              <a:cs typeface="+mn-cs"/>
            </a:rPr>
            <a:t>Original RR-functions for arsenic and benzene, expressed as values at certain concentration levels, are processed into values per 1 µg/l using regression analysis and the RR for the highest category and </a:t>
          </a:r>
          <a:r>
            <a:rPr lang="sv-SE" sz="1100" i="0">
              <a:solidFill>
                <a:schemeClr val="dk1"/>
              </a:solidFill>
              <a:effectLst/>
              <a:latin typeface="+mn-lt"/>
              <a:ea typeface="+mn-ea"/>
              <a:cs typeface="+mn-cs"/>
            </a:rPr>
            <a:t>assuming a log‑linear dose-response model.</a:t>
          </a:r>
        </a:p>
        <a:p>
          <a:r>
            <a:rPr lang="sv-SE" sz="1100" b="0"/>
            <a:t>2.</a:t>
          </a:r>
          <a:r>
            <a:rPr lang="sv-SE" sz="1100" b="0" baseline="0"/>
            <a:t> Benzene (CAS 74-43-2) is presented as Benzene (inh_µg/m3) and Benzene (inh_ppm-years), to allow a user to use air concentrations in different units. Slope factor for ingestion is availble for both alternatives.</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t>3. </a:t>
          </a:r>
          <a:r>
            <a:rPr lang="en-GB" sz="1100">
              <a:solidFill>
                <a:schemeClr val="dk1"/>
              </a:solidFill>
              <a:effectLst/>
              <a:latin typeface="+mn-lt"/>
              <a:ea typeface="+mn-ea"/>
              <a:cs typeface="+mn-cs"/>
            </a:rPr>
            <a:t>For most UR and SF functions, only point estimates are available, and the same value is used as low, central and high. </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t>4.</a:t>
          </a:r>
          <a:r>
            <a:rPr lang="en-GB" sz="1100">
              <a:solidFill>
                <a:schemeClr val="dk1"/>
              </a:solidFill>
              <a:effectLst/>
              <a:latin typeface="+mn-lt"/>
              <a:ea typeface="+mn-ea"/>
              <a:cs typeface="+mn-cs"/>
            </a:rPr>
            <a:t>For incidence of</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leukemia due to exposure to benzene, only min and max UR values are provided. Central (default) value in this case is the same as low and correspond to the min estimate in the original study, high corresponds to the max estimate in the original study.</a:t>
          </a:r>
        </a:p>
        <a:p>
          <a:pPr marL="0" marR="0" lvl="0" indent="0" defTabSz="914400" eaLnBrk="1" fontAlgn="auto" latinLnBrk="0" hangingPunct="1">
            <a:lnSpc>
              <a:spcPct val="100000"/>
            </a:lnSpc>
            <a:spcBef>
              <a:spcPts val="0"/>
            </a:spcBef>
            <a:spcAft>
              <a:spcPts val="0"/>
            </a:spcAft>
            <a:buClrTx/>
            <a:buSzTx/>
            <a:buFontTx/>
            <a:buNone/>
            <a:tabLst/>
            <a:defRPr/>
          </a:pPr>
          <a:r>
            <a:rPr lang="sv-SE" sz="1100" b="0" baseline="0">
              <a:solidFill>
                <a:schemeClr val="dk1"/>
              </a:solidFill>
              <a:effectLst/>
              <a:latin typeface="+mn-lt"/>
              <a:ea typeface="+mn-ea"/>
              <a:cs typeface="+mn-cs"/>
            </a:rPr>
            <a:t>5. For incidence of lung cancer due to exposure to </a:t>
          </a:r>
          <a:r>
            <a:rPr lang="sv-SE"/>
            <a:t>Benzo[a]pyren, </a:t>
          </a:r>
          <a:r>
            <a:rPr lang="sv-SE" sz="1100" b="0" baseline="0">
              <a:solidFill>
                <a:schemeClr val="dk1"/>
              </a:solidFill>
              <a:effectLst/>
              <a:latin typeface="+mn-lt"/>
              <a:ea typeface="+mn-ea"/>
              <a:cs typeface="+mn-cs"/>
            </a:rPr>
            <a:t>we use UR value from WHO, 2000 (</a:t>
          </a:r>
          <a:r>
            <a:rPr lang="sv-SE" sz="1100" b="0" i="0">
              <a:solidFill>
                <a:schemeClr val="dk1"/>
              </a:solidFill>
              <a:effectLst/>
              <a:latin typeface="+mn-lt"/>
              <a:ea typeface="+mn-ea"/>
              <a:cs typeface="+mn-cs"/>
            </a:rPr>
            <a:t>0.087 in relation to exposure in </a:t>
          </a:r>
          <a:r>
            <a:rPr lang="sv-SE" sz="1100" b="0" baseline="0">
              <a:solidFill>
                <a:schemeClr val="dk1"/>
              </a:solidFill>
              <a:effectLst/>
              <a:latin typeface="+mn-lt"/>
              <a:ea typeface="+mn-ea"/>
              <a:cs typeface="+mn-cs"/>
            </a:rPr>
            <a:t>µg/m3</a:t>
          </a:r>
          <a:r>
            <a:rPr lang="sv-SE" sz="1100" b="0" i="0">
              <a:solidFill>
                <a:schemeClr val="dk1"/>
              </a:solidFill>
              <a:effectLst/>
              <a:latin typeface="+mn-lt"/>
              <a:ea typeface="+mn-ea"/>
              <a:cs typeface="+mn-cs"/>
            </a:rPr>
            <a:t>).</a:t>
          </a:r>
          <a:r>
            <a:rPr lang="sv-SE" sz="1100" b="0" baseline="0">
              <a:solidFill>
                <a:schemeClr val="dk1"/>
              </a:solidFill>
              <a:effectLst/>
              <a:latin typeface="+mn-lt"/>
              <a:ea typeface="+mn-ea"/>
              <a:cs typeface="+mn-cs"/>
            </a:rPr>
            <a:t> Alternative value (0.010) is avaialble in IRIS.</a:t>
          </a:r>
          <a:endParaRPr lang="sv-SE">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sv-SE" sz="1100" b="0" u="non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commonchemistry.cas.org/detail?cas_rn=630-08-0"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euronews.com/health/2024/12/18/where-are-you-most-likely-to-survive-cancer-in-europe-and-why" TargetMode="External"/><Relationship Id="rId1" Type="http://schemas.openxmlformats.org/officeDocument/2006/relationships/hyperlink" Target="https://www.alzheimers.org.uk/about-dementia/stages-and-symptoms/later-stages-dementi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ubmed.ncbi.nlm.nih.gov/38218206/" TargetMode="External"/><Relationship Id="rId13" Type="http://schemas.openxmlformats.org/officeDocument/2006/relationships/hyperlink" Target="https://pubmed.ncbi.nlm.nih.gov/26024815/" TargetMode="External"/><Relationship Id="rId18" Type="http://schemas.openxmlformats.org/officeDocument/2006/relationships/hyperlink" Target="https://pubmed.ncbi.nlm.nih.gov/39399882/" TargetMode="External"/><Relationship Id="rId26" Type="http://schemas.openxmlformats.org/officeDocument/2006/relationships/hyperlink" Target="https://assets.publishing.service.gov.uk/media/64fadfdea78c5f0014265847/COMEAP_Quantification_recommendations.pdf" TargetMode="External"/><Relationship Id="rId3" Type="http://schemas.openxmlformats.org/officeDocument/2006/relationships/hyperlink" Target="https://pubmed.ncbi.nlm.nih.gov/16855129/" TargetMode="External"/><Relationship Id="rId21" Type="http://schemas.openxmlformats.org/officeDocument/2006/relationships/hyperlink" Target="https://pubmed.ncbi.nlm.nih.gov/40716448/" TargetMode="External"/><Relationship Id="rId7" Type="http://schemas.openxmlformats.org/officeDocument/2006/relationships/hyperlink" Target="https://pubmed.ncbi.nlm.nih.gov/35217009/" TargetMode="External"/><Relationship Id="rId12" Type="http://schemas.openxmlformats.org/officeDocument/2006/relationships/hyperlink" Target="https://www.healtheffects.org/sites/default/files/hei-annual-report-2022.pdf" TargetMode="External"/><Relationship Id="rId17" Type="http://schemas.openxmlformats.org/officeDocument/2006/relationships/hyperlink" Target="https://pubmed.ncbi.nlm.nih.gov/33601225/" TargetMode="External"/><Relationship Id="rId25" Type="http://schemas.openxmlformats.org/officeDocument/2006/relationships/hyperlink" Target="https://pubmed.ncbi.nlm.nih.gov/31433918/" TargetMode="External"/><Relationship Id="rId2" Type="http://schemas.openxmlformats.org/officeDocument/2006/relationships/hyperlink" Target="https://pubmed.ncbi.nlm.nih.gov/21669378/" TargetMode="External"/><Relationship Id="rId16" Type="http://schemas.openxmlformats.org/officeDocument/2006/relationships/hyperlink" Target="https://pubmed.ncbi.nlm.nih.gov/32590284/" TargetMode="External"/><Relationship Id="rId20" Type="http://schemas.openxmlformats.org/officeDocument/2006/relationships/hyperlink" Target="https://pubmed.ncbi.nlm.nih.gov/34557780/" TargetMode="External"/><Relationship Id="rId29" Type="http://schemas.openxmlformats.org/officeDocument/2006/relationships/hyperlink" Target="https://pubmed.ncbi.nlm.nih.gov/32041707/" TargetMode="External"/><Relationship Id="rId1" Type="http://schemas.openxmlformats.org/officeDocument/2006/relationships/hyperlink" Target="https://www.epa.gov/iris" TargetMode="External"/><Relationship Id="rId6" Type="http://schemas.openxmlformats.org/officeDocument/2006/relationships/hyperlink" Target="https://pubmed.ncbi.nlm.nih.gov/32272785/" TargetMode="External"/><Relationship Id="rId11" Type="http://schemas.openxmlformats.org/officeDocument/2006/relationships/hyperlink" Target="https://pubmed.ncbi.nlm.nih.gov/39045486/" TargetMode="External"/><Relationship Id="rId24" Type="http://schemas.openxmlformats.org/officeDocument/2006/relationships/hyperlink" Target="https://iris.who.int/server/api/core/bitstreams/19bdf746-06de-4f1b-90ba-f8d53989936f/content" TargetMode="External"/><Relationship Id="rId32" Type="http://schemas.openxmlformats.org/officeDocument/2006/relationships/hyperlink" Target="https://www.efpia.eu/media/nbbbsbhp/ihe-comparator-report-on-cancer-in-europe-2025.pdf" TargetMode="External"/><Relationship Id="rId5" Type="http://schemas.openxmlformats.org/officeDocument/2006/relationships/hyperlink" Target="https://pubmed.ncbi.nlm.nih.gov/30400886/" TargetMode="External"/><Relationship Id="rId15" Type="http://schemas.openxmlformats.org/officeDocument/2006/relationships/hyperlink" Target="https://pubmed.ncbi.nlm.nih.gov/27881237/" TargetMode="External"/><Relationship Id="rId23" Type="http://schemas.openxmlformats.org/officeDocument/2006/relationships/hyperlink" Target="https://www.ispor.org/docs/default-source/euro2024/ispor24---qaly-final144320-pdf.pdf?sfvrsn=33d5788e_0" TargetMode="External"/><Relationship Id="rId28" Type="http://schemas.openxmlformats.org/officeDocument/2006/relationships/hyperlink" Target="https://iris.who.int/server/api/core/bitstreams/7107999d-7e53-47aa-90e8-bb1d162ff46e/content" TargetMode="External"/><Relationship Id="rId10" Type="http://schemas.openxmlformats.org/officeDocument/2006/relationships/hyperlink" Target="https://pubmed.ncbi.nlm.nih.gov/20584305/" TargetMode="External"/><Relationship Id="rId19" Type="http://schemas.openxmlformats.org/officeDocument/2006/relationships/hyperlink" Target="https://pubmed.ncbi.nlm.nih.gov/33417909/" TargetMode="External"/><Relationship Id="rId31" Type="http://schemas.openxmlformats.org/officeDocument/2006/relationships/hyperlink" Target="https://pubmed.ncbi.nlm.nih.gov/40859566/" TargetMode="External"/><Relationship Id="rId4" Type="http://schemas.openxmlformats.org/officeDocument/2006/relationships/hyperlink" Target="https://pubmed.ncbi.nlm.nih.gov/24515505/" TargetMode="External"/><Relationship Id="rId9" Type="http://schemas.openxmlformats.org/officeDocument/2006/relationships/hyperlink" Target="https://pubmed.ncbi.nlm.nih.gov/32634667/" TargetMode="External"/><Relationship Id="rId14" Type="http://schemas.openxmlformats.org/officeDocument/2006/relationships/hyperlink" Target="https://pubmed.ncbi.nlm.nih.gov/39494092/" TargetMode="External"/><Relationship Id="rId22" Type="http://schemas.openxmlformats.org/officeDocument/2006/relationships/hyperlink" Target="https://pubmed.ncbi.nlm.nih.gov/25967992/" TargetMode="External"/><Relationship Id="rId27" Type="http://schemas.openxmlformats.org/officeDocument/2006/relationships/hyperlink" Target="https://pubmed.ncbi.nlm.nih.gov/33762259/" TargetMode="External"/><Relationship Id="rId30" Type="http://schemas.openxmlformats.org/officeDocument/2006/relationships/hyperlink" Target="https://pubmed.ncbi.nlm.nih.gov/368838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0C583-0453-4DA5-97C4-673F8314AA57}">
  <dimension ref="A1:B1"/>
  <sheetViews>
    <sheetView workbookViewId="0">
      <selection activeCell="G32" sqref="G32"/>
    </sheetView>
  </sheetViews>
  <sheetFormatPr defaultRowHeight="14.4"/>
  <cols>
    <col min="1" max="2" width="10.88671875" customWidth="1"/>
  </cols>
  <sheetData>
    <row r="1" spans="1:2">
      <c r="A1" s="1" t="s">
        <v>0</v>
      </c>
      <c r="B1" s="2">
        <v>46009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CCFFCC"/>
  </sheetPr>
  <dimension ref="A1:X1048562"/>
  <sheetViews>
    <sheetView tabSelected="1" zoomScale="80" zoomScaleNormal="80" workbookViewId="0">
      <pane ySplit="1" topLeftCell="A2" activePane="bottomLeft" state="frozen"/>
      <selection pane="bottomLeft" activeCell="P55" sqref="P55"/>
    </sheetView>
  </sheetViews>
  <sheetFormatPr defaultColWidth="12.5546875" defaultRowHeight="15.6"/>
  <cols>
    <col min="1" max="1" width="20.88671875" style="75" customWidth="1"/>
    <col min="2" max="2" width="26.5546875" style="67" bestFit="1" customWidth="1"/>
    <col min="3" max="3" width="10.44140625" style="68" customWidth="1"/>
    <col min="4" max="4" width="11" style="69" customWidth="1"/>
    <col min="5" max="5" width="14.44140625" style="70" customWidth="1"/>
    <col min="6" max="6" width="42" style="70" bestFit="1" customWidth="1"/>
    <col min="7" max="7" width="19.109375" style="70" customWidth="1"/>
    <col min="8" max="8" width="15.88671875" style="70" customWidth="1"/>
    <col min="9" max="10" width="6.5546875" style="71" customWidth="1"/>
    <col min="11" max="11" width="10.44140625" style="72" customWidth="1"/>
    <col min="12" max="12" width="11.5546875" style="72" customWidth="1"/>
    <col min="13" max="13" width="13.44140625" style="70" customWidth="1"/>
    <col min="14" max="14" width="9.5546875" style="72" customWidth="1"/>
    <col min="15" max="15" width="9.109375" style="72" customWidth="1"/>
    <col min="16" max="16" width="9.5546875" style="89" customWidth="1"/>
    <col min="17" max="17" width="11" style="73" bestFit="1" customWidth="1"/>
    <col min="18" max="18" width="11" style="203" customWidth="1"/>
    <col min="19" max="19" width="11" style="204" customWidth="1"/>
    <col min="20" max="20" width="10" style="85" bestFit="1" customWidth="1"/>
    <col min="21" max="21" width="40.88671875" style="85" customWidth="1"/>
    <col min="22" max="22" width="48.88671875" style="86" bestFit="1" customWidth="1"/>
    <col min="23" max="23" width="28.33203125" style="66" customWidth="1"/>
    <col min="24" max="16384" width="12.5546875" style="74"/>
  </cols>
  <sheetData>
    <row r="1" spans="1:24" s="7" customFormat="1" ht="16.5" customHeight="1">
      <c r="A1" s="3" t="s">
        <v>1</v>
      </c>
      <c r="B1" s="4" t="s">
        <v>2</v>
      </c>
      <c r="C1" s="5" t="s">
        <v>3</v>
      </c>
      <c r="D1" s="5" t="s">
        <v>4</v>
      </c>
      <c r="E1" s="6" t="s">
        <v>5</v>
      </c>
      <c r="F1" s="6" t="s">
        <v>6</v>
      </c>
      <c r="G1" s="6" t="s">
        <v>7</v>
      </c>
      <c r="H1" s="6" t="s">
        <v>8</v>
      </c>
      <c r="I1" s="6" t="s">
        <v>9</v>
      </c>
      <c r="J1" s="6" t="s">
        <v>10</v>
      </c>
      <c r="K1" s="6" t="s">
        <v>11</v>
      </c>
      <c r="L1" s="6" t="s">
        <v>12</v>
      </c>
      <c r="M1" s="158" t="s">
        <v>13</v>
      </c>
      <c r="N1" s="6" t="s">
        <v>14</v>
      </c>
      <c r="O1" s="97" t="s">
        <v>15</v>
      </c>
      <c r="P1" s="98" t="s">
        <v>16</v>
      </c>
      <c r="Q1" s="103" t="s">
        <v>17</v>
      </c>
      <c r="R1" s="205" t="s">
        <v>18</v>
      </c>
      <c r="S1" s="206" t="s">
        <v>19</v>
      </c>
      <c r="T1" s="110" t="s">
        <v>20</v>
      </c>
      <c r="U1" s="110" t="s">
        <v>21</v>
      </c>
      <c r="V1" s="98" t="s">
        <v>22</v>
      </c>
      <c r="W1" s="98" t="s">
        <v>23</v>
      </c>
    </row>
    <row r="2" spans="1:24" s="17" customFormat="1" ht="17.25" customHeight="1">
      <c r="A2" s="8" t="s">
        <v>24</v>
      </c>
      <c r="B2" s="9" t="s">
        <v>25</v>
      </c>
      <c r="C2" s="10" t="s">
        <v>26</v>
      </c>
      <c r="D2" s="11" t="s">
        <v>27</v>
      </c>
      <c r="E2" s="12" t="s">
        <v>28</v>
      </c>
      <c r="F2" s="12" t="s">
        <v>29</v>
      </c>
      <c r="G2" s="12" t="s">
        <v>30</v>
      </c>
      <c r="H2" s="12" t="s">
        <v>31</v>
      </c>
      <c r="I2" s="13"/>
      <c r="J2" s="13"/>
      <c r="K2" s="14">
        <v>30</v>
      </c>
      <c r="L2" s="14" t="s">
        <v>32</v>
      </c>
      <c r="M2" s="15" t="s">
        <v>33</v>
      </c>
      <c r="N2" s="14">
        <v>1.0640000000000001</v>
      </c>
      <c r="O2" s="14">
        <v>1.095</v>
      </c>
      <c r="P2" s="99">
        <v>1.127</v>
      </c>
      <c r="Q2" s="92">
        <v>10</v>
      </c>
      <c r="R2" s="195">
        <v>5</v>
      </c>
      <c r="S2" s="196">
        <v>70</v>
      </c>
      <c r="T2" s="111" t="s">
        <v>34</v>
      </c>
      <c r="U2" s="111" t="s">
        <v>35</v>
      </c>
      <c r="V2" s="104" t="s">
        <v>36</v>
      </c>
      <c r="W2" s="30" t="s">
        <v>37</v>
      </c>
      <c r="X2" s="115"/>
    </row>
    <row r="3" spans="1:24" s="17" customFormat="1" ht="17.25" hidden="1" customHeight="1">
      <c r="A3" s="18"/>
      <c r="B3" s="19" t="s">
        <v>25</v>
      </c>
      <c r="C3" s="20"/>
      <c r="D3" s="21" t="s">
        <v>27</v>
      </c>
      <c r="E3" s="15" t="s">
        <v>28</v>
      </c>
      <c r="F3" s="15" t="s">
        <v>29</v>
      </c>
      <c r="G3" s="15" t="s">
        <v>38</v>
      </c>
      <c r="H3" s="15" t="s">
        <v>31</v>
      </c>
      <c r="I3" s="13"/>
      <c r="J3" s="13"/>
      <c r="K3" s="14">
        <v>0</v>
      </c>
      <c r="L3" s="14" t="s">
        <v>32</v>
      </c>
      <c r="M3" s="15" t="s">
        <v>39</v>
      </c>
      <c r="N3" s="14">
        <v>1.0059</v>
      </c>
      <c r="O3" s="14">
        <v>1.0067999999999999</v>
      </c>
      <c r="P3" s="99">
        <v>1.0077</v>
      </c>
      <c r="Q3" s="92">
        <v>10</v>
      </c>
      <c r="R3" s="195">
        <v>5</v>
      </c>
      <c r="S3" s="196">
        <v>100</v>
      </c>
      <c r="T3" s="111" t="s">
        <v>34</v>
      </c>
      <c r="U3" s="111" t="s">
        <v>35</v>
      </c>
      <c r="V3" s="104" t="s">
        <v>36</v>
      </c>
      <c r="W3" s="30" t="s">
        <v>40</v>
      </c>
      <c r="X3" s="115"/>
    </row>
    <row r="4" spans="1:24" s="29" customFormat="1" ht="18" customHeight="1">
      <c r="A4" s="22"/>
      <c r="B4" s="23" t="s">
        <v>25</v>
      </c>
      <c r="C4" s="24" t="s">
        <v>26</v>
      </c>
      <c r="D4" s="25" t="s">
        <v>27</v>
      </c>
      <c r="E4" s="26" t="s">
        <v>28</v>
      </c>
      <c r="F4" s="26" t="s">
        <v>41</v>
      </c>
      <c r="G4" s="26" t="s">
        <v>30</v>
      </c>
      <c r="H4" s="26" t="s">
        <v>42</v>
      </c>
      <c r="I4" s="27">
        <v>1</v>
      </c>
      <c r="J4" s="27">
        <v>1</v>
      </c>
      <c r="K4" s="14">
        <v>30</v>
      </c>
      <c r="L4" s="28" t="s">
        <v>32</v>
      </c>
      <c r="M4" s="15" t="s">
        <v>33</v>
      </c>
      <c r="N4" s="28">
        <v>1.1020000000000001</v>
      </c>
      <c r="O4" s="28">
        <v>1.127</v>
      </c>
      <c r="P4" s="100">
        <v>1.1519999999999999</v>
      </c>
      <c r="Q4" s="93">
        <v>10</v>
      </c>
      <c r="R4" s="197">
        <v>5</v>
      </c>
      <c r="S4" s="198">
        <v>70</v>
      </c>
      <c r="T4" s="112" t="s">
        <v>34</v>
      </c>
      <c r="U4" s="112" t="s">
        <v>35</v>
      </c>
      <c r="V4" s="57" t="s">
        <v>43</v>
      </c>
      <c r="W4" s="57" t="s">
        <v>37</v>
      </c>
      <c r="X4" s="116"/>
    </row>
    <row r="5" spans="1:24" s="31" customFormat="1" ht="17.25" customHeight="1">
      <c r="A5" s="30"/>
      <c r="B5" s="23" t="s">
        <v>25</v>
      </c>
      <c r="C5" s="24" t="s">
        <v>26</v>
      </c>
      <c r="D5" s="25" t="s">
        <v>27</v>
      </c>
      <c r="E5" s="26" t="s">
        <v>28</v>
      </c>
      <c r="F5" s="26" t="s">
        <v>44</v>
      </c>
      <c r="G5" s="26" t="s">
        <v>30</v>
      </c>
      <c r="H5" s="26" t="s">
        <v>42</v>
      </c>
      <c r="I5" s="27">
        <v>1</v>
      </c>
      <c r="J5" s="27">
        <v>2</v>
      </c>
      <c r="K5" s="14">
        <v>30</v>
      </c>
      <c r="L5" s="28" t="s">
        <v>32</v>
      </c>
      <c r="M5" s="15" t="s">
        <v>33</v>
      </c>
      <c r="N5" s="28">
        <v>1.1020000000000001</v>
      </c>
      <c r="O5" s="28">
        <v>1.143</v>
      </c>
      <c r="P5" s="100">
        <v>1.1859999999999999</v>
      </c>
      <c r="Q5" s="93">
        <v>10</v>
      </c>
      <c r="R5" s="197">
        <v>5</v>
      </c>
      <c r="S5" s="198">
        <v>70</v>
      </c>
      <c r="T5" s="112" t="s">
        <v>34</v>
      </c>
      <c r="U5" s="112" t="s">
        <v>35</v>
      </c>
      <c r="V5" s="105" t="s">
        <v>45</v>
      </c>
      <c r="W5" s="57" t="s">
        <v>37</v>
      </c>
      <c r="X5" s="117"/>
    </row>
    <row r="6" spans="1:24" s="29" customFormat="1" ht="18" hidden="1" customHeight="1">
      <c r="A6" s="32"/>
      <c r="B6" s="33" t="s">
        <v>25</v>
      </c>
      <c r="C6" s="34"/>
      <c r="D6" s="35" t="s">
        <v>27</v>
      </c>
      <c r="E6" s="36" t="s">
        <v>28</v>
      </c>
      <c r="F6" s="36" t="s">
        <v>46</v>
      </c>
      <c r="G6" s="36" t="s">
        <v>38</v>
      </c>
      <c r="H6" s="36" t="s">
        <v>42</v>
      </c>
      <c r="I6" s="37">
        <v>5</v>
      </c>
      <c r="J6" s="37">
        <v>1</v>
      </c>
      <c r="K6" s="14">
        <v>0</v>
      </c>
      <c r="L6" s="14" t="s">
        <v>32</v>
      </c>
      <c r="M6" s="15" t="s">
        <v>39</v>
      </c>
      <c r="N6" s="28">
        <v>1.0061</v>
      </c>
      <c r="O6" s="28">
        <v>1.0092000000000001</v>
      </c>
      <c r="P6" s="100">
        <v>1.0123</v>
      </c>
      <c r="Q6" s="93">
        <v>10</v>
      </c>
      <c r="R6" s="195" t="s">
        <v>47</v>
      </c>
      <c r="S6" s="196" t="s">
        <v>47</v>
      </c>
      <c r="T6" s="112" t="s">
        <v>34</v>
      </c>
      <c r="U6" s="112" t="s">
        <v>35</v>
      </c>
      <c r="V6" s="57" t="s">
        <v>43</v>
      </c>
      <c r="W6" s="56" t="s">
        <v>48</v>
      </c>
      <c r="X6" s="116"/>
    </row>
    <row r="7" spans="1:24" s="43" customFormat="1" ht="18" customHeight="1">
      <c r="A7" s="32"/>
      <c r="B7" s="38" t="s">
        <v>25</v>
      </c>
      <c r="C7" s="39" t="s">
        <v>26</v>
      </c>
      <c r="D7" s="40" t="s">
        <v>27</v>
      </c>
      <c r="E7" s="41" t="s">
        <v>28</v>
      </c>
      <c r="F7" s="41" t="s">
        <v>49</v>
      </c>
      <c r="G7" s="41" t="s">
        <v>30</v>
      </c>
      <c r="H7" s="41" t="s">
        <v>42</v>
      </c>
      <c r="I7" s="42">
        <v>3</v>
      </c>
      <c r="J7" s="42">
        <v>1</v>
      </c>
      <c r="K7" s="14">
        <v>30</v>
      </c>
      <c r="L7" s="14" t="s">
        <v>32</v>
      </c>
      <c r="M7" s="15" t="s">
        <v>33</v>
      </c>
      <c r="N7" s="14">
        <v>1.079</v>
      </c>
      <c r="O7" s="14">
        <v>1.1359999999999999</v>
      </c>
      <c r="P7" s="99">
        <v>1.1970000000000001</v>
      </c>
      <c r="Q7" s="92">
        <v>10</v>
      </c>
      <c r="R7" s="195">
        <v>5</v>
      </c>
      <c r="S7" s="196">
        <v>70</v>
      </c>
      <c r="T7" s="111" t="s">
        <v>34</v>
      </c>
      <c r="U7" s="111" t="s">
        <v>35</v>
      </c>
      <c r="V7" s="30" t="s">
        <v>50</v>
      </c>
      <c r="W7" s="30" t="s">
        <v>37</v>
      </c>
      <c r="X7" s="118"/>
    </row>
    <row r="8" spans="1:24" s="29" customFormat="1" ht="18" hidden="1" customHeight="1">
      <c r="A8" s="32"/>
      <c r="B8" s="19" t="s">
        <v>25</v>
      </c>
      <c r="C8" s="20"/>
      <c r="D8" s="21" t="s">
        <v>27</v>
      </c>
      <c r="E8" s="15" t="s">
        <v>28</v>
      </c>
      <c r="F8" s="15" t="s">
        <v>49</v>
      </c>
      <c r="G8" s="15" t="s">
        <v>38</v>
      </c>
      <c r="H8" s="15" t="s">
        <v>42</v>
      </c>
      <c r="I8" s="13"/>
      <c r="J8" s="13"/>
      <c r="K8" s="14">
        <v>0</v>
      </c>
      <c r="L8" s="14" t="s">
        <v>32</v>
      </c>
      <c r="M8" s="15" t="s">
        <v>39</v>
      </c>
      <c r="N8" s="14">
        <v>1.0028999999999999</v>
      </c>
      <c r="O8" s="14">
        <v>1.0073000000000001</v>
      </c>
      <c r="P8" s="99">
        <v>1.0116000000000001</v>
      </c>
      <c r="Q8" s="92">
        <v>10</v>
      </c>
      <c r="R8" s="195" t="s">
        <v>47</v>
      </c>
      <c r="S8" s="196" t="s">
        <v>47</v>
      </c>
      <c r="T8" s="111" t="s">
        <v>34</v>
      </c>
      <c r="U8" s="111" t="s">
        <v>35</v>
      </c>
      <c r="V8" s="30" t="s">
        <v>50</v>
      </c>
      <c r="W8" s="56" t="s">
        <v>48</v>
      </c>
      <c r="X8" s="116"/>
    </row>
    <row r="9" spans="1:24" s="44" customFormat="1" ht="17.25" customHeight="1">
      <c r="A9" s="30"/>
      <c r="B9" s="38" t="s">
        <v>25</v>
      </c>
      <c r="C9" s="39" t="s">
        <v>26</v>
      </c>
      <c r="D9" s="40" t="s">
        <v>27</v>
      </c>
      <c r="E9" s="41" t="s">
        <v>28</v>
      </c>
      <c r="F9" s="41" t="s">
        <v>51</v>
      </c>
      <c r="G9" s="41" t="s">
        <v>30</v>
      </c>
      <c r="H9" s="41" t="s">
        <v>42</v>
      </c>
      <c r="I9" s="42">
        <v>3</v>
      </c>
      <c r="J9" s="42">
        <v>2</v>
      </c>
      <c r="K9" s="14">
        <v>30</v>
      </c>
      <c r="L9" s="14" t="s">
        <v>32</v>
      </c>
      <c r="M9" s="15" t="s">
        <v>33</v>
      </c>
      <c r="N9" s="14">
        <v>1.08</v>
      </c>
      <c r="O9" s="14">
        <v>1.1379999999999999</v>
      </c>
      <c r="P9" s="99">
        <v>1.198</v>
      </c>
      <c r="Q9" s="92">
        <v>10</v>
      </c>
      <c r="R9" s="195">
        <v>5</v>
      </c>
      <c r="S9" s="196">
        <v>70</v>
      </c>
      <c r="T9" s="111" t="s">
        <v>34</v>
      </c>
      <c r="U9" s="111" t="s">
        <v>35</v>
      </c>
      <c r="V9" s="104" t="s">
        <v>52</v>
      </c>
      <c r="W9" s="30" t="s">
        <v>37</v>
      </c>
      <c r="X9" s="109"/>
    </row>
    <row r="10" spans="1:24" s="44" customFormat="1" ht="17.25" customHeight="1">
      <c r="A10" s="30"/>
      <c r="B10" s="38" t="s">
        <v>25</v>
      </c>
      <c r="C10" s="39" t="s">
        <v>26</v>
      </c>
      <c r="D10" s="40" t="s">
        <v>27</v>
      </c>
      <c r="E10" s="41" t="s">
        <v>28</v>
      </c>
      <c r="F10" s="41" t="s">
        <v>53</v>
      </c>
      <c r="G10" s="41" t="s">
        <v>30</v>
      </c>
      <c r="H10" s="41" t="s">
        <v>42</v>
      </c>
      <c r="I10" s="42">
        <v>3</v>
      </c>
      <c r="J10" s="42">
        <v>2</v>
      </c>
      <c r="K10" s="14">
        <v>30</v>
      </c>
      <c r="L10" s="14" t="s">
        <v>32</v>
      </c>
      <c r="M10" s="15" t="s">
        <v>33</v>
      </c>
      <c r="N10" s="14">
        <v>1.095</v>
      </c>
      <c r="O10" s="14">
        <v>1.204</v>
      </c>
      <c r="P10" s="99">
        <v>1.325</v>
      </c>
      <c r="Q10" s="92">
        <v>10</v>
      </c>
      <c r="R10" s="195">
        <v>5</v>
      </c>
      <c r="S10" s="196">
        <v>70</v>
      </c>
      <c r="T10" s="111" t="s">
        <v>34</v>
      </c>
      <c r="U10" s="111" t="s">
        <v>35</v>
      </c>
      <c r="V10" s="104" t="s">
        <v>54</v>
      </c>
      <c r="W10" s="30" t="s">
        <v>37</v>
      </c>
      <c r="X10" s="109"/>
    </row>
    <row r="11" spans="1:24" s="29" customFormat="1" ht="18" hidden="1" customHeight="1">
      <c r="A11" s="32"/>
      <c r="B11" s="33" t="s">
        <v>25</v>
      </c>
      <c r="C11" s="34"/>
      <c r="D11" s="35" t="s">
        <v>27</v>
      </c>
      <c r="E11" s="36" t="s">
        <v>28</v>
      </c>
      <c r="F11" s="36" t="s">
        <v>55</v>
      </c>
      <c r="G11" s="36" t="s">
        <v>38</v>
      </c>
      <c r="H11" s="36" t="s">
        <v>42</v>
      </c>
      <c r="I11" s="37">
        <v>5</v>
      </c>
      <c r="J11" s="37">
        <v>2</v>
      </c>
      <c r="K11" s="14">
        <v>0</v>
      </c>
      <c r="L11" s="14" t="s">
        <v>32</v>
      </c>
      <c r="M11" s="15" t="s">
        <v>39</v>
      </c>
      <c r="N11" s="14">
        <v>1.0012000000000001</v>
      </c>
      <c r="O11" s="14">
        <v>1.0072000000000001</v>
      </c>
      <c r="P11" s="99">
        <v>1.0132000000000001</v>
      </c>
      <c r="Q11" s="92">
        <v>10</v>
      </c>
      <c r="R11" s="195" t="s">
        <v>47</v>
      </c>
      <c r="S11" s="196" t="s">
        <v>47</v>
      </c>
      <c r="T11" s="111" t="s">
        <v>34</v>
      </c>
      <c r="U11" s="111" t="s">
        <v>35</v>
      </c>
      <c r="V11" s="30" t="s">
        <v>56</v>
      </c>
      <c r="W11" s="56" t="s">
        <v>48</v>
      </c>
      <c r="X11" s="116"/>
    </row>
    <row r="12" spans="1:24" s="29" customFormat="1" ht="18" customHeight="1">
      <c r="A12" s="32"/>
      <c r="B12" s="23" t="s">
        <v>25</v>
      </c>
      <c r="C12" s="24" t="s">
        <v>26</v>
      </c>
      <c r="D12" s="25" t="s">
        <v>27</v>
      </c>
      <c r="E12" s="26" t="s">
        <v>28</v>
      </c>
      <c r="F12" s="26" t="s">
        <v>55</v>
      </c>
      <c r="G12" s="26" t="s">
        <v>30</v>
      </c>
      <c r="H12" s="26" t="s">
        <v>42</v>
      </c>
      <c r="I12" s="27">
        <v>1</v>
      </c>
      <c r="J12" s="27">
        <v>2</v>
      </c>
      <c r="K12" s="14">
        <v>30</v>
      </c>
      <c r="L12" s="14" t="s">
        <v>32</v>
      </c>
      <c r="M12" s="15" t="s">
        <v>33</v>
      </c>
      <c r="N12" s="14">
        <v>1.101</v>
      </c>
      <c r="O12" s="14">
        <v>1.1459999999999999</v>
      </c>
      <c r="P12" s="99">
        <v>1.1919999999999999</v>
      </c>
      <c r="Q12" s="92">
        <v>10</v>
      </c>
      <c r="R12" s="195">
        <v>5</v>
      </c>
      <c r="S12" s="196">
        <v>70</v>
      </c>
      <c r="T12" s="111" t="s">
        <v>34</v>
      </c>
      <c r="U12" s="111" t="s">
        <v>35</v>
      </c>
      <c r="V12" s="30" t="s">
        <v>56</v>
      </c>
      <c r="W12" s="30" t="s">
        <v>37</v>
      </c>
      <c r="X12" s="116"/>
    </row>
    <row r="13" spans="1:24" s="17" customFormat="1" ht="17.25" customHeight="1">
      <c r="A13" s="30"/>
      <c r="B13" s="19" t="s">
        <v>25</v>
      </c>
      <c r="C13" s="20" t="s">
        <v>26</v>
      </c>
      <c r="D13" s="21" t="s">
        <v>27</v>
      </c>
      <c r="E13" s="15" t="s">
        <v>28</v>
      </c>
      <c r="F13" s="15" t="s">
        <v>57</v>
      </c>
      <c r="G13" s="15" t="s">
        <v>30</v>
      </c>
      <c r="H13" s="15" t="s">
        <v>42</v>
      </c>
      <c r="I13" s="13"/>
      <c r="J13" s="13"/>
      <c r="K13" s="14">
        <v>30</v>
      </c>
      <c r="L13" s="14" t="s">
        <v>32</v>
      </c>
      <c r="M13" s="15" t="s">
        <v>33</v>
      </c>
      <c r="N13" s="14">
        <v>1.0529999999999999</v>
      </c>
      <c r="O13" s="14">
        <v>1.093</v>
      </c>
      <c r="P13" s="99">
        <v>1.135</v>
      </c>
      <c r="Q13" s="92">
        <v>10</v>
      </c>
      <c r="R13" s="195">
        <v>5</v>
      </c>
      <c r="S13" s="196">
        <v>70</v>
      </c>
      <c r="T13" s="111" t="s">
        <v>34</v>
      </c>
      <c r="U13" s="111" t="s">
        <v>35</v>
      </c>
      <c r="V13" s="104" t="s">
        <v>58</v>
      </c>
      <c r="W13" s="30" t="s">
        <v>37</v>
      </c>
      <c r="X13" s="115"/>
    </row>
    <row r="14" spans="1:24" s="17" customFormat="1" ht="17.25" customHeight="1">
      <c r="A14" s="30"/>
      <c r="B14" s="19" t="s">
        <v>25</v>
      </c>
      <c r="C14" s="20" t="s">
        <v>26</v>
      </c>
      <c r="D14" s="21" t="s">
        <v>27</v>
      </c>
      <c r="E14" s="15" t="s">
        <v>59</v>
      </c>
      <c r="F14" s="15" t="s">
        <v>60</v>
      </c>
      <c r="G14" s="15" t="s">
        <v>30</v>
      </c>
      <c r="H14" s="15" t="s">
        <v>36</v>
      </c>
      <c r="I14" s="13"/>
      <c r="J14" s="13"/>
      <c r="K14" s="14">
        <v>0</v>
      </c>
      <c r="L14" s="14">
        <v>18</v>
      </c>
      <c r="M14" s="15" t="s">
        <v>61</v>
      </c>
      <c r="N14" s="14">
        <v>1.1000000000000001</v>
      </c>
      <c r="O14" s="14">
        <v>1.34</v>
      </c>
      <c r="P14" s="99">
        <v>1.63</v>
      </c>
      <c r="Q14" s="92">
        <v>10</v>
      </c>
      <c r="R14" s="195">
        <v>5</v>
      </c>
      <c r="S14" s="196">
        <v>38</v>
      </c>
      <c r="T14" s="111" t="s">
        <v>34</v>
      </c>
      <c r="U14" s="111" t="s">
        <v>62</v>
      </c>
      <c r="V14" s="104" t="s">
        <v>36</v>
      </c>
      <c r="W14" s="30" t="s">
        <v>63</v>
      </c>
      <c r="X14" s="115"/>
    </row>
    <row r="15" spans="1:24" s="17" customFormat="1" ht="17.25" customHeight="1">
      <c r="A15" s="30"/>
      <c r="B15" s="19" t="s">
        <v>25</v>
      </c>
      <c r="C15" s="20" t="s">
        <v>26</v>
      </c>
      <c r="D15" s="21" t="s">
        <v>27</v>
      </c>
      <c r="E15" s="15" t="s">
        <v>59</v>
      </c>
      <c r="F15" s="15" t="s">
        <v>64</v>
      </c>
      <c r="G15" s="15" t="s">
        <v>30</v>
      </c>
      <c r="H15" s="15" t="s">
        <v>36</v>
      </c>
      <c r="I15" s="13"/>
      <c r="J15" s="13"/>
      <c r="K15" s="14">
        <v>30</v>
      </c>
      <c r="L15" s="14" t="s">
        <v>32</v>
      </c>
      <c r="M15" s="15" t="s">
        <v>33</v>
      </c>
      <c r="N15" s="14">
        <v>1.1299999999999999</v>
      </c>
      <c r="O15" s="14">
        <v>1.18</v>
      </c>
      <c r="P15" s="99">
        <v>1.23</v>
      </c>
      <c r="Q15" s="92">
        <v>10</v>
      </c>
      <c r="R15" s="195">
        <v>5</v>
      </c>
      <c r="S15" s="196">
        <v>26</v>
      </c>
      <c r="T15" s="111" t="s">
        <v>34</v>
      </c>
      <c r="U15" s="111" t="s">
        <v>65</v>
      </c>
      <c r="V15" s="104" t="s">
        <v>36</v>
      </c>
      <c r="W15" s="30" t="s">
        <v>66</v>
      </c>
      <c r="X15" s="115"/>
    </row>
    <row r="16" spans="1:24" s="17" customFormat="1" ht="17.25" customHeight="1">
      <c r="A16" s="30"/>
      <c r="B16" s="19" t="s">
        <v>25</v>
      </c>
      <c r="C16" s="20" t="s">
        <v>26</v>
      </c>
      <c r="D16" s="21" t="s">
        <v>27</v>
      </c>
      <c r="E16" s="15" t="s">
        <v>59</v>
      </c>
      <c r="F16" s="15" t="s">
        <v>67</v>
      </c>
      <c r="G16" s="15" t="s">
        <v>30</v>
      </c>
      <c r="H16" s="15" t="s">
        <v>36</v>
      </c>
      <c r="I16" s="13"/>
      <c r="J16" s="13"/>
      <c r="K16" s="14">
        <v>30</v>
      </c>
      <c r="L16" s="14" t="s">
        <v>32</v>
      </c>
      <c r="M16" s="15" t="s">
        <v>33</v>
      </c>
      <c r="N16" s="14">
        <v>1.05</v>
      </c>
      <c r="O16" s="14">
        <v>1.1299999999999999</v>
      </c>
      <c r="P16" s="99">
        <v>1.22</v>
      </c>
      <c r="Q16" s="92">
        <v>10</v>
      </c>
      <c r="R16" s="195">
        <v>5</v>
      </c>
      <c r="S16" s="196">
        <v>65</v>
      </c>
      <c r="T16" s="111" t="s">
        <v>34</v>
      </c>
      <c r="U16" s="111" t="s">
        <v>68</v>
      </c>
      <c r="V16" s="104" t="s">
        <v>36</v>
      </c>
      <c r="W16" s="30" t="s">
        <v>69</v>
      </c>
      <c r="X16" s="115"/>
    </row>
    <row r="17" spans="1:24" s="17" customFormat="1" ht="17.25" customHeight="1">
      <c r="A17" s="30"/>
      <c r="B17" s="19" t="s">
        <v>25</v>
      </c>
      <c r="C17" s="20" t="s">
        <v>26</v>
      </c>
      <c r="D17" s="21" t="s">
        <v>27</v>
      </c>
      <c r="E17" s="15" t="s">
        <v>59</v>
      </c>
      <c r="F17" s="15" t="s">
        <v>70</v>
      </c>
      <c r="G17" s="15" t="s">
        <v>30</v>
      </c>
      <c r="H17" s="15" t="s">
        <v>36</v>
      </c>
      <c r="I17" s="13"/>
      <c r="J17" s="13"/>
      <c r="K17" s="14">
        <v>30</v>
      </c>
      <c r="L17" s="14" t="s">
        <v>32</v>
      </c>
      <c r="M17" s="15" t="s">
        <v>33</v>
      </c>
      <c r="N17" s="14">
        <v>1.1200000000000001</v>
      </c>
      <c r="O17" s="14">
        <v>1.1599999999999999</v>
      </c>
      <c r="P17" s="99">
        <v>1.2</v>
      </c>
      <c r="Q17" s="92">
        <v>10</v>
      </c>
      <c r="R17" s="195">
        <v>5</v>
      </c>
      <c r="S17" s="196">
        <v>36</v>
      </c>
      <c r="T17" s="111" t="s">
        <v>34</v>
      </c>
      <c r="U17" s="111" t="s">
        <v>56</v>
      </c>
      <c r="V17" s="104" t="s">
        <v>36</v>
      </c>
      <c r="W17" s="30" t="s">
        <v>69</v>
      </c>
      <c r="X17" s="115"/>
    </row>
    <row r="18" spans="1:24" s="17" customFormat="1" ht="17.25" customHeight="1">
      <c r="A18" s="30"/>
      <c r="B18" s="19" t="s">
        <v>25</v>
      </c>
      <c r="C18" s="20"/>
      <c r="D18" s="21" t="s">
        <v>71</v>
      </c>
      <c r="E18" s="15" t="s">
        <v>59</v>
      </c>
      <c r="F18" s="15" t="s">
        <v>72</v>
      </c>
      <c r="G18" s="15" t="s">
        <v>30</v>
      </c>
      <c r="H18" s="15" t="s">
        <v>36</v>
      </c>
      <c r="I18" s="13"/>
      <c r="J18" s="13"/>
      <c r="K18" s="14">
        <v>60</v>
      </c>
      <c r="L18" s="14" t="s">
        <v>32</v>
      </c>
      <c r="M18" s="15" t="s">
        <v>73</v>
      </c>
      <c r="N18" s="14">
        <v>1.04</v>
      </c>
      <c r="O18" s="14">
        <v>1.17</v>
      </c>
      <c r="P18" s="99">
        <v>1.25</v>
      </c>
      <c r="Q18" s="92">
        <v>10</v>
      </c>
      <c r="R18" s="195">
        <v>5</v>
      </c>
      <c r="S18" s="196">
        <v>35</v>
      </c>
      <c r="T18" s="111" t="s">
        <v>34</v>
      </c>
      <c r="U18" s="111" t="s">
        <v>74</v>
      </c>
      <c r="V18" s="104" t="s">
        <v>36</v>
      </c>
      <c r="W18" s="30" t="s">
        <v>75</v>
      </c>
      <c r="X18" s="115"/>
    </row>
    <row r="19" spans="1:24" s="17" customFormat="1" ht="17.25" customHeight="1">
      <c r="A19" s="30"/>
      <c r="B19" s="19" t="s">
        <v>25</v>
      </c>
      <c r="C19" s="20"/>
      <c r="D19" s="21" t="s">
        <v>71</v>
      </c>
      <c r="E19" s="15" t="s">
        <v>59</v>
      </c>
      <c r="F19" s="15" t="s">
        <v>76</v>
      </c>
      <c r="G19" s="15" t="s">
        <v>30</v>
      </c>
      <c r="H19" s="15" t="s">
        <v>36</v>
      </c>
      <c r="I19" s="13"/>
      <c r="J19" s="13"/>
      <c r="K19" s="14">
        <v>30</v>
      </c>
      <c r="L19" s="14" t="s">
        <v>32</v>
      </c>
      <c r="M19" s="15" t="s">
        <v>33</v>
      </c>
      <c r="N19" s="14">
        <v>1.03</v>
      </c>
      <c r="O19" s="14">
        <v>1.1000000000000001</v>
      </c>
      <c r="P19" s="99">
        <v>1.18</v>
      </c>
      <c r="Q19" s="92">
        <v>10</v>
      </c>
      <c r="R19" s="195">
        <v>5</v>
      </c>
      <c r="S19" s="196">
        <v>79</v>
      </c>
      <c r="T19" s="111" t="s">
        <v>34</v>
      </c>
      <c r="U19" s="111" t="s">
        <v>77</v>
      </c>
      <c r="V19" s="104" t="s">
        <v>36</v>
      </c>
      <c r="W19" s="30" t="s">
        <v>69</v>
      </c>
      <c r="X19" s="115"/>
    </row>
    <row r="20" spans="1:24" s="17" customFormat="1" ht="17.25" customHeight="1">
      <c r="A20" s="45"/>
      <c r="B20" s="19" t="s">
        <v>25</v>
      </c>
      <c r="C20" s="20" t="s">
        <v>26</v>
      </c>
      <c r="D20" s="21" t="s">
        <v>27</v>
      </c>
      <c r="E20" s="15" t="s">
        <v>59</v>
      </c>
      <c r="F20" s="15" t="s">
        <v>78</v>
      </c>
      <c r="G20" s="15" t="s">
        <v>30</v>
      </c>
      <c r="H20" s="15" t="s">
        <v>36</v>
      </c>
      <c r="I20" s="13"/>
      <c r="J20" s="13"/>
      <c r="K20" s="14">
        <v>30</v>
      </c>
      <c r="L20" s="14" t="s">
        <v>32</v>
      </c>
      <c r="M20" s="15" t="s">
        <v>33</v>
      </c>
      <c r="N20" s="14">
        <v>1.1000000000000001</v>
      </c>
      <c r="O20" s="14">
        <v>1.1599999999999999</v>
      </c>
      <c r="P20" s="99">
        <v>1.23</v>
      </c>
      <c r="Q20" s="92">
        <v>10</v>
      </c>
      <c r="R20" s="195">
        <v>5</v>
      </c>
      <c r="S20" s="196">
        <v>44</v>
      </c>
      <c r="T20" s="111" t="s">
        <v>34</v>
      </c>
      <c r="U20" s="111" t="s">
        <v>58</v>
      </c>
      <c r="V20" s="104" t="s">
        <v>36</v>
      </c>
      <c r="W20" s="30" t="s">
        <v>79</v>
      </c>
      <c r="X20" s="115"/>
    </row>
    <row r="21" spans="1:24" s="17" customFormat="1" ht="17.25" hidden="1" customHeight="1">
      <c r="A21" s="45"/>
      <c r="B21" s="19" t="s">
        <v>25</v>
      </c>
      <c r="C21" s="20" t="s">
        <v>26</v>
      </c>
      <c r="D21" s="21" t="s">
        <v>27</v>
      </c>
      <c r="E21" s="15" t="s">
        <v>59</v>
      </c>
      <c r="F21" s="15" t="s">
        <v>80</v>
      </c>
      <c r="G21" s="15" t="s">
        <v>38</v>
      </c>
      <c r="H21" s="15" t="s">
        <v>36</v>
      </c>
      <c r="I21" s="13"/>
      <c r="J21" s="13"/>
      <c r="K21" s="14">
        <v>0</v>
      </c>
      <c r="L21" s="14" t="s">
        <v>32</v>
      </c>
      <c r="M21" s="15" t="s">
        <v>39</v>
      </c>
      <c r="N21" s="14">
        <v>1.0017</v>
      </c>
      <c r="O21" s="14">
        <v>1.0091000000000001</v>
      </c>
      <c r="P21" s="99">
        <v>1.0165999999999999</v>
      </c>
      <c r="Q21" s="92">
        <v>10</v>
      </c>
      <c r="R21" s="195">
        <v>5</v>
      </c>
      <c r="S21" s="196">
        <v>25</v>
      </c>
      <c r="T21" s="111" t="s">
        <v>34</v>
      </c>
      <c r="U21" s="111" t="s">
        <v>80</v>
      </c>
      <c r="V21" s="104" t="s">
        <v>36</v>
      </c>
      <c r="W21" s="30" t="s">
        <v>81</v>
      </c>
      <c r="X21" s="115"/>
    </row>
    <row r="22" spans="1:24" s="17" customFormat="1" ht="17.25" hidden="1" customHeight="1">
      <c r="A22" s="45"/>
      <c r="B22" s="19" t="s">
        <v>82</v>
      </c>
      <c r="C22" s="20" t="s">
        <v>26</v>
      </c>
      <c r="D22" s="21" t="s">
        <v>27</v>
      </c>
      <c r="E22" s="15" t="s">
        <v>59</v>
      </c>
      <c r="F22" s="15" t="s">
        <v>60</v>
      </c>
      <c r="G22" s="15" t="s">
        <v>30</v>
      </c>
      <c r="H22" s="15" t="s">
        <v>36</v>
      </c>
      <c r="I22" s="13"/>
      <c r="J22" s="13"/>
      <c r="K22" s="14">
        <v>0</v>
      </c>
      <c r="L22" s="14">
        <v>18</v>
      </c>
      <c r="M22" s="15" t="s">
        <v>61</v>
      </c>
      <c r="N22" s="14">
        <v>1.05</v>
      </c>
      <c r="O22" s="14">
        <v>1.1000000000000001</v>
      </c>
      <c r="P22" s="99">
        <v>1.18</v>
      </c>
      <c r="Q22" s="92">
        <v>10</v>
      </c>
      <c r="R22" s="195">
        <v>10</v>
      </c>
      <c r="S22" s="196">
        <v>39</v>
      </c>
      <c r="T22" s="111" t="s">
        <v>34</v>
      </c>
      <c r="U22" s="111" t="s">
        <v>62</v>
      </c>
      <c r="V22" s="104" t="s">
        <v>36</v>
      </c>
      <c r="W22" s="30" t="s">
        <v>83</v>
      </c>
      <c r="X22" s="115"/>
    </row>
    <row r="23" spans="1:24" s="17" customFormat="1" ht="17.25" hidden="1" customHeight="1">
      <c r="A23" s="45"/>
      <c r="B23" s="19" t="s">
        <v>82</v>
      </c>
      <c r="C23" s="20" t="s">
        <v>26</v>
      </c>
      <c r="D23" s="21" t="s">
        <v>27</v>
      </c>
      <c r="E23" s="15" t="s">
        <v>59</v>
      </c>
      <c r="F23" s="15" t="s">
        <v>84</v>
      </c>
      <c r="G23" s="15" t="s">
        <v>30</v>
      </c>
      <c r="H23" s="15" t="s">
        <v>36</v>
      </c>
      <c r="I23" s="13"/>
      <c r="J23" s="13"/>
      <c r="K23" s="14">
        <v>19</v>
      </c>
      <c r="L23" s="14" t="s">
        <v>32</v>
      </c>
      <c r="M23" s="15" t="s">
        <v>85</v>
      </c>
      <c r="N23" s="14">
        <v>1.01</v>
      </c>
      <c r="O23" s="14">
        <v>1.1000000000000001</v>
      </c>
      <c r="P23" s="99">
        <v>1.21</v>
      </c>
      <c r="Q23" s="92">
        <v>10</v>
      </c>
      <c r="R23" s="195">
        <v>10</v>
      </c>
      <c r="S23" s="196">
        <v>40</v>
      </c>
      <c r="T23" s="111" t="s">
        <v>34</v>
      </c>
      <c r="U23" s="111" t="s">
        <v>86</v>
      </c>
      <c r="V23" s="104" t="s">
        <v>36</v>
      </c>
      <c r="W23" s="30" t="s">
        <v>83</v>
      </c>
      <c r="X23" s="115"/>
    </row>
    <row r="24" spans="1:24" s="17" customFormat="1" ht="17.25" hidden="1" customHeight="1">
      <c r="A24" s="45"/>
      <c r="B24" s="19" t="s">
        <v>82</v>
      </c>
      <c r="C24" s="20" t="s">
        <v>26</v>
      </c>
      <c r="D24" s="21" t="s">
        <v>27</v>
      </c>
      <c r="E24" s="15" t="s">
        <v>59</v>
      </c>
      <c r="F24" s="15" t="s">
        <v>87</v>
      </c>
      <c r="G24" s="15" t="s">
        <v>30</v>
      </c>
      <c r="H24" s="15" t="s">
        <v>36</v>
      </c>
      <c r="I24" s="13"/>
      <c r="J24" s="13"/>
      <c r="K24" s="14">
        <v>0</v>
      </c>
      <c r="L24" s="14">
        <v>12</v>
      </c>
      <c r="M24" s="15" t="s">
        <v>88</v>
      </c>
      <c r="N24" s="14">
        <v>1.03</v>
      </c>
      <c r="O24" s="14">
        <v>1.0900000000000001</v>
      </c>
      <c r="P24" s="99">
        <v>1.1599999999999999</v>
      </c>
      <c r="Q24" s="92">
        <v>10</v>
      </c>
      <c r="R24" s="195">
        <v>10</v>
      </c>
      <c r="S24" s="196">
        <v>39</v>
      </c>
      <c r="T24" s="111" t="s">
        <v>34</v>
      </c>
      <c r="U24" s="111" t="s">
        <v>89</v>
      </c>
      <c r="V24" s="104" t="s">
        <v>36</v>
      </c>
      <c r="W24" s="30" t="s">
        <v>90</v>
      </c>
      <c r="X24" s="115"/>
    </row>
    <row r="25" spans="1:24" s="17" customFormat="1" ht="17.25" hidden="1" customHeight="1">
      <c r="A25" s="46" t="s">
        <v>24</v>
      </c>
      <c r="B25" s="9" t="s">
        <v>82</v>
      </c>
      <c r="C25" s="10" t="s">
        <v>26</v>
      </c>
      <c r="D25" s="11" t="s">
        <v>27</v>
      </c>
      <c r="E25" s="12" t="s">
        <v>28</v>
      </c>
      <c r="F25" s="12" t="s">
        <v>29</v>
      </c>
      <c r="G25" s="12" t="s">
        <v>30</v>
      </c>
      <c r="H25" s="12" t="s">
        <v>31</v>
      </c>
      <c r="I25" s="13"/>
      <c r="J25" s="13"/>
      <c r="K25" s="14">
        <v>30</v>
      </c>
      <c r="L25" s="14" t="s">
        <v>32</v>
      </c>
      <c r="M25" s="15" t="s">
        <v>33</v>
      </c>
      <c r="N25" s="14">
        <v>1.03</v>
      </c>
      <c r="O25" s="14">
        <v>1.05</v>
      </c>
      <c r="P25" s="99">
        <v>1.07</v>
      </c>
      <c r="Q25" s="92">
        <v>10</v>
      </c>
      <c r="R25" s="195">
        <v>10</v>
      </c>
      <c r="S25" s="196">
        <v>130</v>
      </c>
      <c r="T25" s="111" t="s">
        <v>34</v>
      </c>
      <c r="U25" s="111" t="s">
        <v>35</v>
      </c>
      <c r="V25" s="104" t="s">
        <v>36</v>
      </c>
      <c r="W25" s="30" t="s">
        <v>91</v>
      </c>
      <c r="X25" s="115"/>
    </row>
    <row r="26" spans="1:24" s="31" customFormat="1" ht="17.25" hidden="1" customHeight="1">
      <c r="A26" s="47"/>
      <c r="B26" s="23" t="s">
        <v>82</v>
      </c>
      <c r="C26" s="24"/>
      <c r="D26" s="25" t="s">
        <v>71</v>
      </c>
      <c r="E26" s="26" t="s">
        <v>28</v>
      </c>
      <c r="F26" s="26" t="s">
        <v>41</v>
      </c>
      <c r="G26" s="26" t="s">
        <v>30</v>
      </c>
      <c r="H26" s="26" t="s">
        <v>42</v>
      </c>
      <c r="I26" s="27">
        <v>7</v>
      </c>
      <c r="J26" s="27">
        <v>1</v>
      </c>
      <c r="K26" s="28">
        <v>30</v>
      </c>
      <c r="L26" s="28" t="s">
        <v>32</v>
      </c>
      <c r="M26" s="15" t="s">
        <v>33</v>
      </c>
      <c r="N26" s="28">
        <v>1.03</v>
      </c>
      <c r="O26" s="28">
        <v>1.05</v>
      </c>
      <c r="P26" s="100">
        <v>1.08</v>
      </c>
      <c r="Q26" s="93">
        <v>10</v>
      </c>
      <c r="R26" s="197">
        <v>10</v>
      </c>
      <c r="S26" s="198">
        <v>130</v>
      </c>
      <c r="T26" s="112" t="s">
        <v>34</v>
      </c>
      <c r="U26" s="112" t="s">
        <v>35</v>
      </c>
      <c r="V26" s="105" t="s">
        <v>43</v>
      </c>
      <c r="W26" s="57" t="s">
        <v>91</v>
      </c>
      <c r="X26" s="117"/>
    </row>
    <row r="27" spans="1:24" s="17" customFormat="1" ht="17.25" hidden="1" customHeight="1">
      <c r="A27" s="45"/>
      <c r="B27" s="23" t="s">
        <v>82</v>
      </c>
      <c r="C27" s="24"/>
      <c r="D27" s="25" t="s">
        <v>71</v>
      </c>
      <c r="E27" s="26" t="s">
        <v>28</v>
      </c>
      <c r="F27" s="26" t="s">
        <v>44</v>
      </c>
      <c r="G27" s="26" t="s">
        <v>30</v>
      </c>
      <c r="H27" s="26" t="s">
        <v>42</v>
      </c>
      <c r="I27" s="27">
        <v>7</v>
      </c>
      <c r="J27" s="27">
        <v>2</v>
      </c>
      <c r="K27" s="14">
        <v>30</v>
      </c>
      <c r="L27" s="14" t="s">
        <v>32</v>
      </c>
      <c r="M27" s="15" t="s">
        <v>33</v>
      </c>
      <c r="N27" s="14">
        <v>1.03</v>
      </c>
      <c r="O27" s="14">
        <v>1.05</v>
      </c>
      <c r="P27" s="99">
        <v>1.08</v>
      </c>
      <c r="Q27" s="92">
        <v>10</v>
      </c>
      <c r="R27" s="195">
        <v>10</v>
      </c>
      <c r="S27" s="196">
        <v>130</v>
      </c>
      <c r="T27" s="111" t="s">
        <v>34</v>
      </c>
      <c r="U27" s="111" t="s">
        <v>35</v>
      </c>
      <c r="V27" s="104" t="s">
        <v>45</v>
      </c>
      <c r="W27" s="30" t="s">
        <v>91</v>
      </c>
      <c r="X27" s="115"/>
    </row>
    <row r="28" spans="1:24" s="17" customFormat="1" ht="17.25" hidden="1" customHeight="1">
      <c r="A28" s="45"/>
      <c r="B28" s="38" t="s">
        <v>82</v>
      </c>
      <c r="C28" s="39" t="s">
        <v>26</v>
      </c>
      <c r="D28" s="40" t="s">
        <v>27</v>
      </c>
      <c r="E28" s="41" t="s">
        <v>28</v>
      </c>
      <c r="F28" s="41" t="s">
        <v>49</v>
      </c>
      <c r="G28" s="41" t="s">
        <v>30</v>
      </c>
      <c r="H28" s="41" t="s">
        <v>42</v>
      </c>
      <c r="I28" s="42">
        <v>4</v>
      </c>
      <c r="J28" s="42">
        <v>1</v>
      </c>
      <c r="K28" s="14">
        <v>30</v>
      </c>
      <c r="L28" s="14" t="s">
        <v>32</v>
      </c>
      <c r="M28" s="15" t="s">
        <v>33</v>
      </c>
      <c r="N28" s="14">
        <v>1.03</v>
      </c>
      <c r="O28" s="14">
        <v>1.05</v>
      </c>
      <c r="P28" s="99">
        <v>1.07</v>
      </c>
      <c r="Q28" s="92">
        <v>10</v>
      </c>
      <c r="R28" s="195">
        <v>10</v>
      </c>
      <c r="S28" s="196">
        <v>130</v>
      </c>
      <c r="T28" s="111" t="s">
        <v>34</v>
      </c>
      <c r="U28" s="111" t="s">
        <v>35</v>
      </c>
      <c r="V28" s="30" t="s">
        <v>50</v>
      </c>
      <c r="W28" s="30" t="s">
        <v>91</v>
      </c>
      <c r="X28" s="115"/>
    </row>
    <row r="29" spans="1:24" s="17" customFormat="1" ht="17.25" hidden="1" customHeight="1">
      <c r="A29" s="45"/>
      <c r="B29" s="38" t="s">
        <v>82</v>
      </c>
      <c r="C29" s="39" t="s">
        <v>26</v>
      </c>
      <c r="D29" s="40" t="s">
        <v>27</v>
      </c>
      <c r="E29" s="41" t="s">
        <v>28</v>
      </c>
      <c r="F29" s="41" t="s">
        <v>51</v>
      </c>
      <c r="G29" s="41" t="s">
        <v>30</v>
      </c>
      <c r="H29" s="41" t="s">
        <v>42</v>
      </c>
      <c r="I29" s="42">
        <v>4</v>
      </c>
      <c r="J29" s="42">
        <v>2</v>
      </c>
      <c r="K29" s="14">
        <v>30</v>
      </c>
      <c r="L29" s="14" t="s">
        <v>32</v>
      </c>
      <c r="M29" s="15" t="s">
        <v>33</v>
      </c>
      <c r="N29" s="14">
        <v>1.02</v>
      </c>
      <c r="O29" s="14">
        <v>1.04</v>
      </c>
      <c r="P29" s="99">
        <v>1.06</v>
      </c>
      <c r="Q29" s="92">
        <v>10</v>
      </c>
      <c r="R29" s="195">
        <v>10</v>
      </c>
      <c r="S29" s="196">
        <v>130</v>
      </c>
      <c r="T29" s="111" t="s">
        <v>34</v>
      </c>
      <c r="U29" s="111" t="s">
        <v>35</v>
      </c>
      <c r="V29" s="104" t="s">
        <v>52</v>
      </c>
      <c r="W29" s="30" t="s">
        <v>91</v>
      </c>
      <c r="X29" s="115"/>
    </row>
    <row r="30" spans="1:24" s="17" customFormat="1" ht="17.25" hidden="1" customHeight="1">
      <c r="A30" s="45"/>
      <c r="B30" s="38" t="s">
        <v>82</v>
      </c>
      <c r="C30" s="39" t="s">
        <v>26</v>
      </c>
      <c r="D30" s="40" t="s">
        <v>27</v>
      </c>
      <c r="E30" s="41" t="s">
        <v>28</v>
      </c>
      <c r="F30" s="41" t="s">
        <v>53</v>
      </c>
      <c r="G30" s="41" t="s">
        <v>30</v>
      </c>
      <c r="H30" s="41" t="s">
        <v>42</v>
      </c>
      <c r="I30" s="42">
        <v>4</v>
      </c>
      <c r="J30" s="42">
        <v>2</v>
      </c>
      <c r="K30" s="14">
        <v>30</v>
      </c>
      <c r="L30" s="14" t="s">
        <v>32</v>
      </c>
      <c r="M30" s="15" t="s">
        <v>33</v>
      </c>
      <c r="N30" s="14">
        <v>1.04</v>
      </c>
      <c r="O30" s="14">
        <v>1.08</v>
      </c>
      <c r="P30" s="99">
        <v>1.1200000000000001</v>
      </c>
      <c r="Q30" s="92">
        <v>10</v>
      </c>
      <c r="R30" s="195">
        <v>10</v>
      </c>
      <c r="S30" s="196">
        <v>130</v>
      </c>
      <c r="T30" s="111" t="s">
        <v>34</v>
      </c>
      <c r="U30" s="111" t="s">
        <v>35</v>
      </c>
      <c r="V30" s="104" t="s">
        <v>54</v>
      </c>
      <c r="W30" s="30" t="s">
        <v>91</v>
      </c>
      <c r="X30" s="115"/>
    </row>
    <row r="31" spans="1:24" s="17" customFormat="1" ht="17.25" hidden="1" customHeight="1">
      <c r="A31" s="45"/>
      <c r="B31" s="19" t="s">
        <v>82</v>
      </c>
      <c r="C31" s="20"/>
      <c r="D31" s="21" t="s">
        <v>71</v>
      </c>
      <c r="E31" s="15" t="s">
        <v>28</v>
      </c>
      <c r="F31" s="15" t="s">
        <v>57</v>
      </c>
      <c r="G31" s="15" t="s">
        <v>30</v>
      </c>
      <c r="H31" s="15" t="s">
        <v>42</v>
      </c>
      <c r="I31" s="13"/>
      <c r="J31" s="13"/>
      <c r="K31" s="14">
        <v>30</v>
      </c>
      <c r="L31" s="14" t="s">
        <v>32</v>
      </c>
      <c r="M31" s="15" t="s">
        <v>33</v>
      </c>
      <c r="N31" s="14">
        <v>1.04</v>
      </c>
      <c r="O31" s="14">
        <v>1.07</v>
      </c>
      <c r="P31" s="99">
        <v>1.1000000000000001</v>
      </c>
      <c r="Q31" s="92">
        <v>10</v>
      </c>
      <c r="R31" s="195">
        <v>10</v>
      </c>
      <c r="S31" s="196">
        <v>130</v>
      </c>
      <c r="T31" s="111" t="s">
        <v>34</v>
      </c>
      <c r="U31" s="111" t="s">
        <v>35</v>
      </c>
      <c r="V31" s="104" t="s">
        <v>58</v>
      </c>
      <c r="W31" s="30" t="s">
        <v>91</v>
      </c>
      <c r="X31" s="115"/>
    </row>
    <row r="32" spans="1:24" s="17" customFormat="1" ht="17.25" hidden="1" customHeight="1">
      <c r="A32" s="18"/>
      <c r="B32" s="48" t="s">
        <v>82</v>
      </c>
      <c r="C32" s="49"/>
      <c r="D32" s="50" t="s">
        <v>27</v>
      </c>
      <c r="E32" s="51" t="s">
        <v>28</v>
      </c>
      <c r="F32" s="51" t="s">
        <v>29</v>
      </c>
      <c r="G32" s="51" t="s">
        <v>38</v>
      </c>
      <c r="H32" s="51" t="s">
        <v>31</v>
      </c>
      <c r="I32" s="52"/>
      <c r="J32" s="52"/>
      <c r="K32" s="53">
        <v>0</v>
      </c>
      <c r="L32" s="53" t="s">
        <v>32</v>
      </c>
      <c r="M32" s="51" t="s">
        <v>39</v>
      </c>
      <c r="N32" s="53">
        <v>1.0036</v>
      </c>
      <c r="O32" s="53">
        <v>1.0045999999999999</v>
      </c>
      <c r="P32" s="101">
        <v>1.0057</v>
      </c>
      <c r="Q32" s="94">
        <v>10</v>
      </c>
      <c r="R32" s="195" t="s">
        <v>47</v>
      </c>
      <c r="S32" s="196" t="s">
        <v>47</v>
      </c>
      <c r="T32" s="113" t="s">
        <v>34</v>
      </c>
      <c r="U32" s="113" t="s">
        <v>35</v>
      </c>
      <c r="V32" s="106" t="s">
        <v>36</v>
      </c>
      <c r="W32" s="29" t="s">
        <v>92</v>
      </c>
      <c r="X32" s="115"/>
    </row>
    <row r="33" spans="1:24" s="17" customFormat="1" ht="17.25" hidden="1" customHeight="1">
      <c r="A33" s="55"/>
      <c r="B33" s="19" t="s">
        <v>82</v>
      </c>
      <c r="C33" s="20" t="s">
        <v>26</v>
      </c>
      <c r="D33" s="21" t="s">
        <v>27</v>
      </c>
      <c r="E33" s="15" t="s">
        <v>59</v>
      </c>
      <c r="F33" s="15" t="s">
        <v>93</v>
      </c>
      <c r="G33" s="15" t="s">
        <v>38</v>
      </c>
      <c r="H33" s="15" t="s">
        <v>36</v>
      </c>
      <c r="I33" s="13"/>
      <c r="J33" s="13"/>
      <c r="K33" s="14">
        <v>0</v>
      </c>
      <c r="L33" s="14" t="s">
        <v>32</v>
      </c>
      <c r="M33" s="15" t="s">
        <v>39</v>
      </c>
      <c r="N33" s="14">
        <v>1.0033000000000001</v>
      </c>
      <c r="O33" s="14">
        <v>1.0057</v>
      </c>
      <c r="P33" s="99">
        <v>1.0082</v>
      </c>
      <c r="Q33" s="92">
        <v>10</v>
      </c>
      <c r="R33" s="195">
        <v>10</v>
      </c>
      <c r="S33" s="196">
        <v>65</v>
      </c>
      <c r="T33" s="111" t="s">
        <v>34</v>
      </c>
      <c r="U33" s="111" t="s">
        <v>93</v>
      </c>
      <c r="V33" s="104" t="s">
        <v>36</v>
      </c>
      <c r="W33" s="30" t="s">
        <v>94</v>
      </c>
      <c r="X33" s="115"/>
    </row>
    <row r="34" spans="1:24" s="44" customFormat="1" ht="18" hidden="1" customHeight="1">
      <c r="A34" s="30"/>
      <c r="B34" s="19" t="s">
        <v>95</v>
      </c>
      <c r="C34" s="20"/>
      <c r="D34" s="21" t="s">
        <v>71</v>
      </c>
      <c r="E34" s="15" t="s">
        <v>28</v>
      </c>
      <c r="F34" s="15" t="s">
        <v>49</v>
      </c>
      <c r="G34" s="15" t="s">
        <v>30</v>
      </c>
      <c r="H34" s="15" t="s">
        <v>42</v>
      </c>
      <c r="I34" s="13"/>
      <c r="J34" s="13"/>
      <c r="K34" s="14">
        <v>30</v>
      </c>
      <c r="L34" s="14" t="s">
        <v>32</v>
      </c>
      <c r="M34" s="15" t="s">
        <v>33</v>
      </c>
      <c r="N34" s="14">
        <v>1.02</v>
      </c>
      <c r="O34" s="14">
        <v>1.05</v>
      </c>
      <c r="P34" s="99">
        <v>1.08</v>
      </c>
      <c r="Q34" s="92">
        <v>10</v>
      </c>
      <c r="R34" s="195">
        <v>60</v>
      </c>
      <c r="S34" s="196">
        <v>95</v>
      </c>
      <c r="T34" s="111" t="s">
        <v>34</v>
      </c>
      <c r="U34" s="111" t="s">
        <v>35</v>
      </c>
      <c r="V34" s="30" t="s">
        <v>50</v>
      </c>
      <c r="W34" s="30" t="s">
        <v>96</v>
      </c>
      <c r="X34" s="109"/>
    </row>
    <row r="35" spans="1:24" s="29" customFormat="1" ht="18" hidden="1" customHeight="1">
      <c r="A35" s="56"/>
      <c r="B35" s="19" t="s">
        <v>95</v>
      </c>
      <c r="C35" s="20" t="s">
        <v>26</v>
      </c>
      <c r="D35" s="21" t="s">
        <v>27</v>
      </c>
      <c r="E35" s="15" t="s">
        <v>28</v>
      </c>
      <c r="F35" s="15" t="s">
        <v>29</v>
      </c>
      <c r="G35" s="15" t="s">
        <v>38</v>
      </c>
      <c r="H35" s="15" t="s">
        <v>31</v>
      </c>
      <c r="I35" s="13"/>
      <c r="J35" s="13"/>
      <c r="K35" s="14">
        <v>0</v>
      </c>
      <c r="L35" s="14" t="s">
        <v>32</v>
      </c>
      <c r="M35" s="15" t="s">
        <v>39</v>
      </c>
      <c r="N35" s="14">
        <v>1.0012000000000001</v>
      </c>
      <c r="O35" s="14">
        <v>1.0018</v>
      </c>
      <c r="P35" s="14">
        <v>1.0024</v>
      </c>
      <c r="Q35" s="14">
        <v>10</v>
      </c>
      <c r="R35" s="195" t="s">
        <v>47</v>
      </c>
      <c r="S35" s="196" t="s">
        <v>47</v>
      </c>
      <c r="T35" s="19" t="s">
        <v>34</v>
      </c>
      <c r="U35" s="15" t="s">
        <v>35</v>
      </c>
      <c r="V35" s="15" t="s">
        <v>36</v>
      </c>
      <c r="W35" s="30" t="s">
        <v>97</v>
      </c>
      <c r="X35" s="116"/>
    </row>
    <row r="36" spans="1:24" s="17" customFormat="1" ht="17.25" hidden="1" customHeight="1">
      <c r="A36" s="18"/>
      <c r="B36" s="48" t="s">
        <v>95</v>
      </c>
      <c r="C36" s="49"/>
      <c r="D36" s="50" t="s">
        <v>71</v>
      </c>
      <c r="E36" s="51" t="s">
        <v>59</v>
      </c>
      <c r="F36" s="51" t="s">
        <v>93</v>
      </c>
      <c r="G36" s="51" t="s">
        <v>38</v>
      </c>
      <c r="H36" s="51" t="s">
        <v>36</v>
      </c>
      <c r="I36" s="13"/>
      <c r="J36" s="13"/>
      <c r="K36" s="53">
        <v>0</v>
      </c>
      <c r="L36" s="53" t="s">
        <v>32</v>
      </c>
      <c r="M36" s="51" t="s">
        <v>39</v>
      </c>
      <c r="N36" s="53">
        <v>1.0029999999999999</v>
      </c>
      <c r="O36" s="53">
        <v>1.0075000000000001</v>
      </c>
      <c r="P36" s="53">
        <v>1.012</v>
      </c>
      <c r="Q36" s="53">
        <v>10</v>
      </c>
      <c r="R36" s="195" t="s">
        <v>47</v>
      </c>
      <c r="S36" s="196" t="s">
        <v>47</v>
      </c>
      <c r="T36" s="48" t="s">
        <v>34</v>
      </c>
      <c r="U36" s="51" t="s">
        <v>93</v>
      </c>
      <c r="V36" s="51" t="s">
        <v>36</v>
      </c>
      <c r="W36" s="54" t="s">
        <v>98</v>
      </c>
    </row>
    <row r="37" spans="1:24" s="17" customFormat="1" ht="17.25" hidden="1" customHeight="1">
      <c r="A37" s="45"/>
      <c r="B37" s="19" t="s">
        <v>99</v>
      </c>
      <c r="C37" s="20" t="s">
        <v>26</v>
      </c>
      <c r="D37" s="21" t="s">
        <v>27</v>
      </c>
      <c r="E37" s="15" t="s">
        <v>28</v>
      </c>
      <c r="F37" s="15" t="s">
        <v>29</v>
      </c>
      <c r="G37" s="15" t="s">
        <v>30</v>
      </c>
      <c r="H37" s="15" t="s">
        <v>31</v>
      </c>
      <c r="I37" s="13"/>
      <c r="J37" s="13"/>
      <c r="K37" s="14">
        <v>30</v>
      </c>
      <c r="L37" s="14" t="s">
        <v>32</v>
      </c>
      <c r="M37" s="15" t="s">
        <v>33</v>
      </c>
      <c r="N37" s="14">
        <v>1.052</v>
      </c>
      <c r="O37" s="14">
        <v>1.081</v>
      </c>
      <c r="P37" s="99">
        <v>1.1100000000000001</v>
      </c>
      <c r="Q37" s="92">
        <v>10</v>
      </c>
      <c r="R37" s="195">
        <v>15</v>
      </c>
      <c r="S37" s="196">
        <v>110</v>
      </c>
      <c r="T37" s="111" t="s">
        <v>34</v>
      </c>
      <c r="U37" s="111" t="s">
        <v>35</v>
      </c>
      <c r="V37" s="104" t="s">
        <v>36</v>
      </c>
      <c r="W37" s="30" t="s">
        <v>100</v>
      </c>
      <c r="X37" s="115"/>
    </row>
    <row r="38" spans="1:24" s="17" customFormat="1" ht="17.25" hidden="1" customHeight="1">
      <c r="A38" s="45"/>
      <c r="B38" s="19" t="s">
        <v>99</v>
      </c>
      <c r="C38" s="20"/>
      <c r="D38" s="21" t="s">
        <v>27</v>
      </c>
      <c r="E38" s="15" t="s">
        <v>28</v>
      </c>
      <c r="F38" s="15" t="s">
        <v>29</v>
      </c>
      <c r="G38" s="15" t="s">
        <v>38</v>
      </c>
      <c r="H38" s="15" t="s">
        <v>31</v>
      </c>
      <c r="I38" s="13"/>
      <c r="J38" s="13"/>
      <c r="K38" s="14">
        <v>0</v>
      </c>
      <c r="L38" s="14" t="s">
        <v>32</v>
      </c>
      <c r="M38" s="15" t="s">
        <v>39</v>
      </c>
      <c r="N38" s="14">
        <v>1.0034000000000001</v>
      </c>
      <c r="O38" s="14">
        <v>1.0041</v>
      </c>
      <c r="P38" s="99">
        <v>1.0048999999999999</v>
      </c>
      <c r="Q38" s="92">
        <v>10</v>
      </c>
      <c r="R38" s="195" t="s">
        <v>47</v>
      </c>
      <c r="S38" s="196" t="s">
        <v>47</v>
      </c>
      <c r="T38" s="111" t="s">
        <v>34</v>
      </c>
      <c r="U38" s="111" t="s">
        <v>35</v>
      </c>
      <c r="V38" s="104" t="s">
        <v>36</v>
      </c>
      <c r="W38" s="30" t="s">
        <v>101</v>
      </c>
      <c r="X38" s="115"/>
    </row>
    <row r="39" spans="1:24" s="29" customFormat="1" ht="18" hidden="1" customHeight="1">
      <c r="A39" s="56"/>
      <c r="B39" s="33" t="s">
        <v>99</v>
      </c>
      <c r="C39" s="34"/>
      <c r="D39" s="35" t="s">
        <v>27</v>
      </c>
      <c r="E39" s="36" t="s">
        <v>28</v>
      </c>
      <c r="F39" s="36" t="s">
        <v>46</v>
      </c>
      <c r="G39" s="36" t="s">
        <v>38</v>
      </c>
      <c r="H39" s="36" t="s">
        <v>42</v>
      </c>
      <c r="I39" s="37">
        <v>6</v>
      </c>
      <c r="J39" s="37">
        <v>1</v>
      </c>
      <c r="K39" s="14">
        <v>0</v>
      </c>
      <c r="L39" s="28" t="s">
        <v>32</v>
      </c>
      <c r="M39" s="15" t="s">
        <v>39</v>
      </c>
      <c r="N39" s="28">
        <v>1.0044</v>
      </c>
      <c r="O39" s="28">
        <v>1.006</v>
      </c>
      <c r="P39" s="100">
        <v>1.0077</v>
      </c>
      <c r="Q39" s="93">
        <v>10</v>
      </c>
      <c r="R39" s="195" t="s">
        <v>47</v>
      </c>
      <c r="S39" s="196" t="s">
        <v>47</v>
      </c>
      <c r="T39" s="112" t="s">
        <v>34</v>
      </c>
      <c r="U39" s="112" t="s">
        <v>35</v>
      </c>
      <c r="V39" s="57" t="s">
        <v>43</v>
      </c>
      <c r="W39" s="57" t="s">
        <v>101</v>
      </c>
      <c r="X39" s="116"/>
    </row>
    <row r="40" spans="1:24" s="29" customFormat="1" ht="18" hidden="1" customHeight="1">
      <c r="A40" s="56"/>
      <c r="B40" s="23" t="s">
        <v>99</v>
      </c>
      <c r="C40" s="24" t="s">
        <v>26</v>
      </c>
      <c r="D40" s="25" t="s">
        <v>27</v>
      </c>
      <c r="E40" s="26" t="s">
        <v>28</v>
      </c>
      <c r="F40" s="26" t="s">
        <v>41</v>
      </c>
      <c r="G40" s="26" t="s">
        <v>30</v>
      </c>
      <c r="H40" s="26" t="s">
        <v>42</v>
      </c>
      <c r="I40" s="27">
        <v>2</v>
      </c>
      <c r="J40" s="27">
        <v>1</v>
      </c>
      <c r="K40" s="28">
        <v>30</v>
      </c>
      <c r="L40" s="28" t="s">
        <v>32</v>
      </c>
      <c r="M40" s="15" t="s">
        <v>33</v>
      </c>
      <c r="N40" s="28">
        <v>1.042</v>
      </c>
      <c r="O40" s="28">
        <v>1.08</v>
      </c>
      <c r="P40" s="100">
        <v>1.1200000000000001</v>
      </c>
      <c r="Q40" s="93">
        <v>10</v>
      </c>
      <c r="R40" s="197">
        <v>15</v>
      </c>
      <c r="S40" s="198">
        <v>110</v>
      </c>
      <c r="T40" s="112" t="s">
        <v>34</v>
      </c>
      <c r="U40" s="112" t="s">
        <v>35</v>
      </c>
      <c r="V40" s="57" t="s">
        <v>43</v>
      </c>
      <c r="W40" s="57" t="s">
        <v>100</v>
      </c>
      <c r="X40" s="116"/>
    </row>
    <row r="41" spans="1:24" s="29" customFormat="1" ht="18" hidden="1" customHeight="1">
      <c r="A41" s="56"/>
      <c r="B41" s="23" t="s">
        <v>99</v>
      </c>
      <c r="C41" s="24"/>
      <c r="D41" s="25" t="s">
        <v>71</v>
      </c>
      <c r="E41" s="26" t="s">
        <v>28</v>
      </c>
      <c r="F41" s="26" t="s">
        <v>44</v>
      </c>
      <c r="G41" s="26" t="s">
        <v>30</v>
      </c>
      <c r="H41" s="26" t="s">
        <v>42</v>
      </c>
      <c r="I41" s="27">
        <v>2</v>
      </c>
      <c r="J41" s="27">
        <v>2</v>
      </c>
      <c r="K41" s="14">
        <v>30</v>
      </c>
      <c r="L41" s="14" t="s">
        <v>32</v>
      </c>
      <c r="M41" s="15" t="s">
        <v>33</v>
      </c>
      <c r="N41" s="14">
        <v>1.0189999999999999</v>
      </c>
      <c r="O41" s="14">
        <v>1.0549999999999999</v>
      </c>
      <c r="P41" s="99">
        <v>1.0920000000000001</v>
      </c>
      <c r="Q41" s="92">
        <v>10</v>
      </c>
      <c r="R41" s="195">
        <v>15</v>
      </c>
      <c r="S41" s="196">
        <v>110</v>
      </c>
      <c r="T41" s="111" t="s">
        <v>34</v>
      </c>
      <c r="U41" s="111" t="s">
        <v>35</v>
      </c>
      <c r="V41" s="30" t="s">
        <v>45</v>
      </c>
      <c r="W41" s="30" t="s">
        <v>100</v>
      </c>
      <c r="X41" s="116"/>
    </row>
    <row r="42" spans="1:24" s="29" customFormat="1" ht="18" hidden="1" customHeight="1">
      <c r="A42" s="56"/>
      <c r="B42" s="19" t="s">
        <v>99</v>
      </c>
      <c r="C42" s="20" t="s">
        <v>26</v>
      </c>
      <c r="D42" s="21" t="s">
        <v>27</v>
      </c>
      <c r="E42" s="15" t="s">
        <v>28</v>
      </c>
      <c r="F42" s="15" t="s">
        <v>57</v>
      </c>
      <c r="G42" s="15" t="s">
        <v>30</v>
      </c>
      <c r="H42" s="15" t="s">
        <v>42</v>
      </c>
      <c r="I42" s="13"/>
      <c r="J42" s="13"/>
      <c r="K42" s="14">
        <v>30</v>
      </c>
      <c r="L42" s="14" t="s">
        <v>32</v>
      </c>
      <c r="M42" s="15" t="s">
        <v>33</v>
      </c>
      <c r="N42" s="14">
        <v>1.052</v>
      </c>
      <c r="O42" s="14">
        <v>1.101</v>
      </c>
      <c r="P42" s="99">
        <v>1.1519999999999999</v>
      </c>
      <c r="Q42" s="92">
        <v>10</v>
      </c>
      <c r="R42" s="195">
        <v>15</v>
      </c>
      <c r="S42" s="196">
        <v>110</v>
      </c>
      <c r="T42" s="111" t="s">
        <v>34</v>
      </c>
      <c r="U42" s="111" t="s">
        <v>35</v>
      </c>
      <c r="V42" s="30" t="s">
        <v>58</v>
      </c>
      <c r="W42" s="30" t="s">
        <v>100</v>
      </c>
      <c r="X42" s="116"/>
    </row>
    <row r="43" spans="1:24" s="29" customFormat="1" ht="18" hidden="1" customHeight="1">
      <c r="A43" s="56"/>
      <c r="B43" s="38" t="s">
        <v>99</v>
      </c>
      <c r="C43" s="39" t="s">
        <v>26</v>
      </c>
      <c r="D43" s="40" t="s">
        <v>27</v>
      </c>
      <c r="E43" s="41" t="s">
        <v>28</v>
      </c>
      <c r="F43" s="41" t="s">
        <v>49</v>
      </c>
      <c r="G43" s="41" t="s">
        <v>30</v>
      </c>
      <c r="H43" s="41" t="s">
        <v>42</v>
      </c>
      <c r="I43" s="42">
        <v>8</v>
      </c>
      <c r="J43" s="42">
        <v>1</v>
      </c>
      <c r="K43" s="14">
        <v>30</v>
      </c>
      <c r="L43" s="14" t="s">
        <v>32</v>
      </c>
      <c r="M43" s="15" t="s">
        <v>33</v>
      </c>
      <c r="N43" s="14">
        <v>1.0760000000000001</v>
      </c>
      <c r="O43" s="14">
        <v>1.1220000000000001</v>
      </c>
      <c r="P43" s="99">
        <v>1.169</v>
      </c>
      <c r="Q43" s="92">
        <v>10</v>
      </c>
      <c r="R43" s="195">
        <v>15</v>
      </c>
      <c r="S43" s="196">
        <v>144</v>
      </c>
      <c r="T43" s="111" t="s">
        <v>34</v>
      </c>
      <c r="U43" s="111" t="s">
        <v>35</v>
      </c>
      <c r="V43" s="30" t="s">
        <v>50</v>
      </c>
      <c r="W43" s="30" t="s">
        <v>100</v>
      </c>
      <c r="X43" s="116"/>
    </row>
    <row r="44" spans="1:24" s="29" customFormat="1" ht="18.75" hidden="1" customHeight="1">
      <c r="A44" s="56"/>
      <c r="B44" s="19" t="s">
        <v>99</v>
      </c>
      <c r="C44" s="20"/>
      <c r="D44" s="21" t="s">
        <v>27</v>
      </c>
      <c r="E44" s="15" t="s">
        <v>28</v>
      </c>
      <c r="F44" s="15" t="s">
        <v>49</v>
      </c>
      <c r="G44" s="15" t="s">
        <v>38</v>
      </c>
      <c r="H44" s="15" t="s">
        <v>42</v>
      </c>
      <c r="I44" s="13"/>
      <c r="J44" s="13"/>
      <c r="K44" s="14">
        <v>0</v>
      </c>
      <c r="L44" s="14" t="s">
        <v>32</v>
      </c>
      <c r="M44" s="15" t="s">
        <v>39</v>
      </c>
      <c r="N44" s="14">
        <v>1.0063</v>
      </c>
      <c r="O44" s="14">
        <v>1.0091000000000001</v>
      </c>
      <c r="P44" s="99">
        <v>1.0119</v>
      </c>
      <c r="Q44" s="92">
        <v>10</v>
      </c>
      <c r="R44" s="195" t="s">
        <v>47</v>
      </c>
      <c r="S44" s="196" t="s">
        <v>47</v>
      </c>
      <c r="T44" s="111" t="s">
        <v>34</v>
      </c>
      <c r="U44" s="111" t="s">
        <v>35</v>
      </c>
      <c r="V44" s="30" t="s">
        <v>50</v>
      </c>
      <c r="W44" s="30" t="s">
        <v>101</v>
      </c>
      <c r="X44" s="116"/>
    </row>
    <row r="45" spans="1:24" s="29" customFormat="1" ht="18.75" hidden="1" customHeight="1">
      <c r="A45" s="56"/>
      <c r="B45" s="33" t="s">
        <v>99</v>
      </c>
      <c r="C45" s="34"/>
      <c r="D45" s="35" t="s">
        <v>27</v>
      </c>
      <c r="E45" s="36" t="s">
        <v>28</v>
      </c>
      <c r="F45" s="36" t="s">
        <v>55</v>
      </c>
      <c r="G45" s="36" t="s">
        <v>38</v>
      </c>
      <c r="H45" s="36" t="s">
        <v>42</v>
      </c>
      <c r="I45" s="37">
        <v>6</v>
      </c>
      <c r="J45" s="37">
        <v>2</v>
      </c>
      <c r="K45" s="14">
        <v>0</v>
      </c>
      <c r="L45" s="14" t="s">
        <v>32</v>
      </c>
      <c r="M45" s="15" t="s">
        <v>39</v>
      </c>
      <c r="N45" s="14">
        <v>1.0022</v>
      </c>
      <c r="O45" s="14">
        <v>1.0044</v>
      </c>
      <c r="P45" s="99">
        <v>1.0065999999999999</v>
      </c>
      <c r="Q45" s="92">
        <v>10</v>
      </c>
      <c r="R45" s="195" t="s">
        <v>47</v>
      </c>
      <c r="S45" s="196" t="s">
        <v>47</v>
      </c>
      <c r="T45" s="111" t="s">
        <v>34</v>
      </c>
      <c r="U45" s="111" t="s">
        <v>35</v>
      </c>
      <c r="V45" s="30" t="s">
        <v>56</v>
      </c>
      <c r="W45" s="30" t="s">
        <v>101</v>
      </c>
      <c r="X45" s="116"/>
    </row>
    <row r="46" spans="1:24" s="44" customFormat="1" ht="17.25" hidden="1" customHeight="1">
      <c r="A46" s="30"/>
      <c r="B46" s="19" t="s">
        <v>99</v>
      </c>
      <c r="C46" s="20"/>
      <c r="D46" s="21" t="s">
        <v>71</v>
      </c>
      <c r="E46" s="15" t="s">
        <v>28</v>
      </c>
      <c r="F46" s="15" t="s">
        <v>102</v>
      </c>
      <c r="G46" s="15" t="s">
        <v>30</v>
      </c>
      <c r="H46" s="15" t="s">
        <v>31</v>
      </c>
      <c r="I46" s="13"/>
      <c r="J46" s="13"/>
      <c r="K46" s="14">
        <v>0</v>
      </c>
      <c r="L46" s="14">
        <v>0</v>
      </c>
      <c r="M46" s="15" t="s">
        <v>103</v>
      </c>
      <c r="N46" s="14">
        <v>1.02</v>
      </c>
      <c r="O46" s="14">
        <v>1.04</v>
      </c>
      <c r="P46" s="99">
        <v>1.07</v>
      </c>
      <c r="Q46" s="92">
        <v>10</v>
      </c>
      <c r="R46" s="195" t="s">
        <v>47</v>
      </c>
      <c r="S46" s="196" t="s">
        <v>47</v>
      </c>
      <c r="T46" s="111" t="s">
        <v>34</v>
      </c>
      <c r="U46" s="111" t="s">
        <v>104</v>
      </c>
      <c r="V46" s="104" t="s">
        <v>36</v>
      </c>
      <c r="W46" s="30" t="s">
        <v>105</v>
      </c>
      <c r="X46" s="109"/>
    </row>
    <row r="47" spans="1:24" s="44" customFormat="1" ht="17.25" hidden="1" customHeight="1">
      <c r="A47" s="30"/>
      <c r="B47" s="38" t="s">
        <v>99</v>
      </c>
      <c r="C47" s="39"/>
      <c r="D47" s="40" t="s">
        <v>71</v>
      </c>
      <c r="E47" s="41" t="s">
        <v>28</v>
      </c>
      <c r="F47" s="41" t="s">
        <v>51</v>
      </c>
      <c r="G47" s="41" t="s">
        <v>30</v>
      </c>
      <c r="H47" s="41" t="s">
        <v>42</v>
      </c>
      <c r="I47" s="42">
        <v>8</v>
      </c>
      <c r="J47" s="42">
        <v>2</v>
      </c>
      <c r="K47" s="14">
        <v>30</v>
      </c>
      <c r="L47" s="14" t="s">
        <v>32</v>
      </c>
      <c r="M47" s="15" t="s">
        <v>33</v>
      </c>
      <c r="N47" s="14">
        <v>1.0269999999999999</v>
      </c>
      <c r="O47" s="14">
        <v>1.2150000000000001</v>
      </c>
      <c r="P47" s="99">
        <v>1.4379999999999999</v>
      </c>
      <c r="Q47" s="92">
        <v>10</v>
      </c>
      <c r="R47" s="195" t="s">
        <v>47</v>
      </c>
      <c r="S47" s="196" t="s">
        <v>47</v>
      </c>
      <c r="T47" s="111" t="s">
        <v>34</v>
      </c>
      <c r="U47" s="111" t="s">
        <v>35</v>
      </c>
      <c r="V47" s="104" t="s">
        <v>52</v>
      </c>
      <c r="W47" s="30" t="s">
        <v>100</v>
      </c>
      <c r="X47" s="109"/>
    </row>
    <row r="48" spans="1:24" s="31" customFormat="1" hidden="1">
      <c r="A48" s="57"/>
      <c r="B48" s="58" t="s">
        <v>106</v>
      </c>
      <c r="C48" s="59"/>
      <c r="D48" s="21" t="s">
        <v>71</v>
      </c>
      <c r="E48" s="16" t="s">
        <v>28</v>
      </c>
      <c r="F48" s="15" t="s">
        <v>29</v>
      </c>
      <c r="G48" s="16" t="s">
        <v>38</v>
      </c>
      <c r="H48" s="16" t="s">
        <v>31</v>
      </c>
      <c r="I48" s="60"/>
      <c r="J48" s="60"/>
      <c r="K48" s="61">
        <v>0</v>
      </c>
      <c r="L48" s="61" t="s">
        <v>32</v>
      </c>
      <c r="M48" s="15" t="s">
        <v>39</v>
      </c>
      <c r="N48" s="61">
        <v>1.0019</v>
      </c>
      <c r="O48" s="61">
        <v>1.0044999999999999</v>
      </c>
      <c r="P48" s="102">
        <v>1.0069999999999999</v>
      </c>
      <c r="Q48" s="95">
        <v>10</v>
      </c>
      <c r="R48" s="195" t="s">
        <v>47</v>
      </c>
      <c r="S48" s="196" t="s">
        <v>47</v>
      </c>
      <c r="T48" s="194" t="s">
        <v>34</v>
      </c>
      <c r="U48" s="111" t="s">
        <v>35</v>
      </c>
      <c r="V48" s="104" t="s">
        <v>36</v>
      </c>
      <c r="W48" s="57" t="s">
        <v>107</v>
      </c>
      <c r="X48" s="117"/>
    </row>
    <row r="49" spans="2:24" s="29" customFormat="1" hidden="1">
      <c r="B49" s="62" t="s">
        <v>106</v>
      </c>
      <c r="C49" s="63" t="s">
        <v>26</v>
      </c>
      <c r="D49" s="50" t="s">
        <v>27</v>
      </c>
      <c r="E49" s="54" t="s">
        <v>28</v>
      </c>
      <c r="F49" s="54" t="s">
        <v>49</v>
      </c>
      <c r="G49" s="54" t="s">
        <v>38</v>
      </c>
      <c r="H49" s="54" t="s">
        <v>42</v>
      </c>
      <c r="I49" s="64"/>
      <c r="J49" s="64"/>
      <c r="K49" s="65">
        <v>0</v>
      </c>
      <c r="L49" s="65" t="s">
        <v>32</v>
      </c>
      <c r="M49" s="51" t="s">
        <v>108</v>
      </c>
      <c r="N49" s="65">
        <v>1.0024999999999999</v>
      </c>
      <c r="O49" s="65">
        <v>1.0066999999999999</v>
      </c>
      <c r="P49" s="18">
        <v>1.0108999999999999</v>
      </c>
      <c r="Q49" s="96">
        <v>10</v>
      </c>
      <c r="R49" s="199" t="s">
        <v>47</v>
      </c>
      <c r="S49" s="200" t="s">
        <v>47</v>
      </c>
      <c r="T49" s="109" t="s">
        <v>34</v>
      </c>
      <c r="U49" s="113" t="s">
        <v>35</v>
      </c>
      <c r="V49" s="44" t="s">
        <v>50</v>
      </c>
      <c r="W49" s="29" t="s">
        <v>109</v>
      </c>
      <c r="X49" s="116"/>
    </row>
    <row r="1048559" spans="2:23">
      <c r="B1048559" s="76"/>
      <c r="C1048559" s="77"/>
      <c r="D1048559" s="78"/>
      <c r="E1048559" s="79"/>
      <c r="F1048559" s="79"/>
      <c r="G1048559" s="79"/>
      <c r="H1048559" s="79"/>
      <c r="I1048559" s="80"/>
      <c r="J1048559" s="80"/>
      <c r="K1048559" s="81"/>
      <c r="L1048559" s="81"/>
      <c r="M1048559" s="79"/>
      <c r="N1048559" s="81"/>
      <c r="O1048559" s="81"/>
      <c r="P1048559" s="107"/>
      <c r="Q1048559" s="82"/>
      <c r="R1048559" s="201"/>
      <c r="S1048559" s="202"/>
      <c r="T1048559" s="108"/>
      <c r="U1048559" s="108"/>
      <c r="V1048559" s="114"/>
      <c r="W1048559" s="119"/>
    </row>
    <row r="1048560" spans="2:23">
      <c r="C1048560" s="83"/>
      <c r="D1048560" s="84"/>
      <c r="E1048560" s="86"/>
      <c r="F1048560" s="86"/>
      <c r="G1048560" s="86"/>
      <c r="H1048560" s="86"/>
      <c r="I1048560" s="87"/>
      <c r="J1048560" s="87"/>
      <c r="K1048560" s="88"/>
      <c r="L1048560" s="89"/>
      <c r="M1048560" s="67"/>
      <c r="N1048560" s="73"/>
      <c r="V1048560" s="30"/>
    </row>
    <row r="1048561" spans="3:22">
      <c r="C1048561" s="83"/>
      <c r="D1048561" s="84"/>
      <c r="E1048561" s="86"/>
      <c r="F1048561" s="90"/>
      <c r="G1048561" s="86"/>
      <c r="H1048561" s="86"/>
      <c r="I1048561" s="87"/>
      <c r="J1048561" s="87"/>
      <c r="K1048561" s="88"/>
      <c r="L1048561" s="89"/>
      <c r="M1048561" s="67"/>
      <c r="N1048561" s="73"/>
    </row>
    <row r="1048562" spans="3:22">
      <c r="C1048562" s="83"/>
      <c r="D1048562" s="84"/>
      <c r="E1048562" s="86"/>
      <c r="F1048562" s="86"/>
      <c r="G1048562" s="86"/>
      <c r="H1048562" s="86"/>
      <c r="I1048562" s="87"/>
      <c r="J1048562" s="87"/>
      <c r="K1048562" s="88"/>
      <c r="L1048562" s="89"/>
      <c r="M1048562" s="67"/>
      <c r="N1048562" s="73"/>
      <c r="V1048562" s="91"/>
    </row>
  </sheetData>
  <autoFilter ref="A1:X49" xr:uid="{00000000-0001-0000-0000-000000000000}">
    <filterColumn colId="1">
      <filters>
        <filter val="Fine particles (PM2.5)"/>
      </filters>
    </filterColumn>
    <filterColumn colId="6">
      <filters>
        <filter val="Long-term"/>
      </filters>
    </filterColumn>
  </autoFilter>
  <conditionalFormatting sqref="R1:S1048576">
    <cfRule type="cellIs" dxfId="0" priority="1" operator="equal">
      <formula>"NA"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EEE7-8861-4801-8E69-7EB44BC31558}">
  <sheetPr>
    <tabColor rgb="FFCCFFFF"/>
  </sheetPr>
  <dimension ref="A1:X1048414"/>
  <sheetViews>
    <sheetView zoomScale="80" zoomScaleNormal="80" workbookViewId="0">
      <pane xSplit="2" ySplit="1" topLeftCell="C2" activePane="bottomRight" state="frozen"/>
      <selection pane="topRight" activeCell="C1" sqref="C1"/>
      <selection pane="bottomLeft" activeCell="A2" sqref="A2"/>
      <selection pane="bottomRight" activeCell="A5" sqref="A5:C5"/>
    </sheetView>
  </sheetViews>
  <sheetFormatPr defaultColWidth="12.5546875" defaultRowHeight="15.6"/>
  <cols>
    <col min="1" max="1" width="12.6640625" style="86" bestFit="1" customWidth="1"/>
    <col min="2" max="2" width="28" style="67" bestFit="1" customWidth="1"/>
    <col min="3" max="3" width="84.6640625" style="70" customWidth="1"/>
    <col min="4" max="4" width="19" style="70" customWidth="1"/>
    <col min="5" max="5" width="10" style="86" customWidth="1"/>
    <col min="6" max="6" width="11" style="150" customWidth="1"/>
    <col min="7" max="8" width="13.5546875" style="70" customWidth="1"/>
    <col min="9" max="9" width="10" style="72" customWidth="1"/>
    <col min="10" max="10" width="10.44140625" style="72" customWidth="1"/>
    <col min="11" max="11" width="13.44140625" style="72" customWidth="1"/>
    <col min="12" max="12" width="15.33203125" style="89" customWidth="1"/>
    <col min="13" max="13" width="13.33203125" style="73" customWidth="1"/>
    <col min="14" max="14" width="12.109375" style="89" customWidth="1"/>
    <col min="15" max="15" width="24.6640625" style="89" customWidth="1"/>
    <col min="16" max="16" width="51" style="86" bestFit="1" customWidth="1"/>
    <col min="17" max="17" width="32.33203125" style="85" bestFit="1" customWidth="1"/>
    <col min="18" max="18" width="20" style="151" bestFit="1" customWidth="1"/>
    <col min="19" max="23" width="12.5546875" style="74"/>
    <col min="24" max="24" width="18.6640625" style="74" customWidth="1"/>
    <col min="25" max="16384" width="12.5546875" style="74"/>
  </cols>
  <sheetData>
    <row r="1" spans="1:24" s="7" customFormat="1" ht="16.5" customHeight="1">
      <c r="A1" s="159" t="s">
        <v>110</v>
      </c>
      <c r="B1" s="160" t="s">
        <v>2</v>
      </c>
      <c r="C1" s="159" t="s">
        <v>6</v>
      </c>
      <c r="D1" s="159" t="s">
        <v>7</v>
      </c>
      <c r="E1" s="159" t="s">
        <v>20</v>
      </c>
      <c r="F1" s="159" t="s">
        <v>4</v>
      </c>
      <c r="G1" s="159" t="s">
        <v>111</v>
      </c>
      <c r="H1" s="159" t="s">
        <v>5</v>
      </c>
      <c r="I1" s="159" t="s">
        <v>11</v>
      </c>
      <c r="J1" s="159" t="s">
        <v>12</v>
      </c>
      <c r="K1" s="160" t="s">
        <v>14</v>
      </c>
      <c r="L1" s="159" t="s">
        <v>15</v>
      </c>
      <c r="M1" s="161" t="s">
        <v>16</v>
      </c>
      <c r="N1" s="159" t="s">
        <v>17</v>
      </c>
      <c r="O1" s="159" t="s">
        <v>112</v>
      </c>
      <c r="P1" s="159" t="s">
        <v>21</v>
      </c>
      <c r="Q1" s="159" t="s">
        <v>22</v>
      </c>
      <c r="R1" s="159" t="s">
        <v>23</v>
      </c>
    </row>
    <row r="2" spans="1:24">
      <c r="A2" s="120" t="s">
        <v>36</v>
      </c>
      <c r="B2" s="44" t="s">
        <v>113</v>
      </c>
      <c r="C2" s="44" t="s">
        <v>114</v>
      </c>
      <c r="D2" s="44" t="s">
        <v>30</v>
      </c>
      <c r="E2" s="121" t="s">
        <v>115</v>
      </c>
      <c r="F2" s="122" t="s">
        <v>71</v>
      </c>
      <c r="G2" s="123" t="s">
        <v>116</v>
      </c>
      <c r="H2" s="44" t="s">
        <v>59</v>
      </c>
      <c r="I2" s="18">
        <v>0</v>
      </c>
      <c r="J2" s="18" t="s">
        <v>32</v>
      </c>
      <c r="K2" s="124">
        <f>L2</f>
        <v>2.4000000000000001E-4</v>
      </c>
      <c r="L2" s="18">
        <v>2.4000000000000001E-4</v>
      </c>
      <c r="M2" s="125">
        <f>L2</f>
        <v>2.4000000000000001E-4</v>
      </c>
      <c r="N2" s="18">
        <v>1</v>
      </c>
      <c r="O2" s="18" t="s">
        <v>117</v>
      </c>
      <c r="P2" s="44" t="s">
        <v>58</v>
      </c>
      <c r="Q2" s="120" t="s">
        <v>36</v>
      </c>
      <c r="R2" s="43" t="s">
        <v>118</v>
      </c>
      <c r="T2" s="126"/>
      <c r="U2" s="126"/>
      <c r="V2" s="126"/>
      <c r="W2" s="126"/>
    </row>
    <row r="3" spans="1:24">
      <c r="A3" s="120" t="s">
        <v>119</v>
      </c>
      <c r="B3" s="44" t="s">
        <v>120</v>
      </c>
      <c r="C3" s="44" t="s">
        <v>121</v>
      </c>
      <c r="D3" s="44" t="s">
        <v>30</v>
      </c>
      <c r="E3" s="121" t="s">
        <v>115</v>
      </c>
      <c r="F3" s="122" t="s">
        <v>71</v>
      </c>
      <c r="G3" s="127" t="s">
        <v>116</v>
      </c>
      <c r="H3" s="44" t="s">
        <v>59</v>
      </c>
      <c r="I3" s="18">
        <v>0</v>
      </c>
      <c r="J3" s="18" t="s">
        <v>32</v>
      </c>
      <c r="K3" s="124">
        <f>L3</f>
        <v>3.0000000000000001E-5</v>
      </c>
      <c r="L3" s="18">
        <v>3.0000000000000001E-5</v>
      </c>
      <c r="M3" s="125">
        <f>L3</f>
        <v>3.0000000000000001E-5</v>
      </c>
      <c r="N3" s="18">
        <v>1</v>
      </c>
      <c r="O3" s="18" t="s">
        <v>117</v>
      </c>
      <c r="P3" s="44" t="s">
        <v>122</v>
      </c>
      <c r="Q3" s="120" t="s">
        <v>36</v>
      </c>
      <c r="R3" s="43" t="str">
        <f>$R$2</f>
        <v>IRIS</v>
      </c>
      <c r="T3" s="126"/>
      <c r="U3" s="126"/>
      <c r="V3" s="126"/>
      <c r="W3" s="126"/>
    </row>
    <row r="4" spans="1:24">
      <c r="A4" s="120" t="s">
        <v>123</v>
      </c>
      <c r="B4" s="44" t="s">
        <v>124</v>
      </c>
      <c r="C4" s="44" t="s">
        <v>114</v>
      </c>
      <c r="D4" s="44" t="s">
        <v>30</v>
      </c>
      <c r="E4" s="121" t="s">
        <v>115</v>
      </c>
      <c r="F4" s="122" t="s">
        <v>71</v>
      </c>
      <c r="G4" s="127" t="s">
        <v>116</v>
      </c>
      <c r="H4" s="44" t="s">
        <v>59</v>
      </c>
      <c r="I4" s="18">
        <v>0</v>
      </c>
      <c r="J4" s="18" t="s">
        <v>32</v>
      </c>
      <c r="K4" s="124">
        <f>L4</f>
        <v>4.8000000000000001E-4</v>
      </c>
      <c r="L4" s="18">
        <v>4.8000000000000001E-4</v>
      </c>
      <c r="M4" s="125">
        <f>L4</f>
        <v>4.8000000000000001E-4</v>
      </c>
      <c r="N4" s="18">
        <v>1</v>
      </c>
      <c r="O4" s="18" t="s">
        <v>117</v>
      </c>
      <c r="P4" s="44" t="s">
        <v>58</v>
      </c>
      <c r="Q4" s="120" t="s">
        <v>36</v>
      </c>
      <c r="R4" s="43" t="str">
        <f>$R$2</f>
        <v>IRIS</v>
      </c>
      <c r="T4" s="126"/>
      <c r="U4" s="126"/>
      <c r="V4" s="126"/>
      <c r="W4" s="126"/>
    </row>
    <row r="5" spans="1:24">
      <c r="A5" s="120" t="s">
        <v>125</v>
      </c>
      <c r="B5" s="44" t="s">
        <v>126</v>
      </c>
      <c r="C5" s="44" t="s">
        <v>127</v>
      </c>
      <c r="D5" s="44" t="s">
        <v>30</v>
      </c>
      <c r="E5" s="128" t="s">
        <v>34</v>
      </c>
      <c r="F5" s="122" t="s">
        <v>71</v>
      </c>
      <c r="G5" s="129" t="s">
        <v>128</v>
      </c>
      <c r="H5" s="44" t="s">
        <v>59</v>
      </c>
      <c r="I5" s="18">
        <v>0</v>
      </c>
      <c r="J5" s="18" t="s">
        <v>32</v>
      </c>
      <c r="K5" s="65">
        <v>1.0900000000000001</v>
      </c>
      <c r="L5" s="18">
        <v>1.91</v>
      </c>
      <c r="M5" s="96">
        <v>3.33</v>
      </c>
      <c r="N5" s="18">
        <v>10</v>
      </c>
      <c r="O5" s="18" t="s">
        <v>129</v>
      </c>
      <c r="P5" s="44" t="s">
        <v>130</v>
      </c>
      <c r="Q5" s="120" t="s">
        <v>36</v>
      </c>
      <c r="R5" s="43" t="s">
        <v>131</v>
      </c>
    </row>
    <row r="6" spans="1:24">
      <c r="A6" s="120" t="s">
        <v>132</v>
      </c>
      <c r="B6" s="44" t="s">
        <v>133</v>
      </c>
      <c r="C6" s="44" t="s">
        <v>114</v>
      </c>
      <c r="D6" s="44" t="s">
        <v>30</v>
      </c>
      <c r="E6" s="121" t="s">
        <v>115</v>
      </c>
      <c r="F6" s="122" t="s">
        <v>71</v>
      </c>
      <c r="G6" s="127" t="s">
        <v>116</v>
      </c>
      <c r="H6" s="44" t="s">
        <v>59</v>
      </c>
      <c r="I6" s="18">
        <v>0</v>
      </c>
      <c r="J6" s="18" t="s">
        <v>32</v>
      </c>
      <c r="K6" s="130">
        <f>L6</f>
        <v>1.7999999999999999E-2</v>
      </c>
      <c r="L6" s="18">
        <v>1.7999999999999999E-2</v>
      </c>
      <c r="M6" s="125">
        <f>L6</f>
        <v>1.7999999999999999E-2</v>
      </c>
      <c r="N6" s="18">
        <v>1</v>
      </c>
      <c r="O6" s="18" t="s">
        <v>117</v>
      </c>
      <c r="P6" s="44" t="s">
        <v>58</v>
      </c>
      <c r="Q6" s="120" t="s">
        <v>36</v>
      </c>
      <c r="R6" s="43" t="str">
        <f t="shared" ref="R6:R9" si="0">$R$2</f>
        <v>IRIS</v>
      </c>
    </row>
    <row r="7" spans="1:24">
      <c r="A7" s="120" t="s">
        <v>134</v>
      </c>
      <c r="B7" s="44" t="s">
        <v>135</v>
      </c>
      <c r="C7" s="44" t="s">
        <v>114</v>
      </c>
      <c r="D7" s="44" t="s">
        <v>30</v>
      </c>
      <c r="E7" s="121" t="s">
        <v>115</v>
      </c>
      <c r="F7" s="122" t="s">
        <v>71</v>
      </c>
      <c r="G7" s="127" t="s">
        <v>116</v>
      </c>
      <c r="H7" s="44" t="s">
        <v>59</v>
      </c>
      <c r="I7" s="18">
        <v>0</v>
      </c>
      <c r="J7" s="18" t="s">
        <v>32</v>
      </c>
      <c r="K7" s="130">
        <v>8.6999999999999994E-2</v>
      </c>
      <c r="L7" s="18">
        <v>8.6999999999999994E-2</v>
      </c>
      <c r="M7" s="125">
        <v>8.6999999999999994E-2</v>
      </c>
      <c r="N7" s="18">
        <v>1</v>
      </c>
      <c r="O7" s="18" t="s">
        <v>117</v>
      </c>
      <c r="P7" s="44" t="s">
        <v>58</v>
      </c>
      <c r="Q7" s="120" t="s">
        <v>36</v>
      </c>
      <c r="R7" s="43" t="s">
        <v>136</v>
      </c>
      <c r="T7" s="131"/>
    </row>
    <row r="8" spans="1:24">
      <c r="A8" s="120" t="s">
        <v>134</v>
      </c>
      <c r="B8" s="44" t="s">
        <v>135</v>
      </c>
      <c r="C8" s="44" t="s">
        <v>137</v>
      </c>
      <c r="D8" s="44" t="s">
        <v>30</v>
      </c>
      <c r="E8" s="132" t="s">
        <v>138</v>
      </c>
      <c r="F8" s="122" t="s">
        <v>71</v>
      </c>
      <c r="G8" s="129" t="s">
        <v>128</v>
      </c>
      <c r="H8" s="44" t="s">
        <v>59</v>
      </c>
      <c r="I8" s="18">
        <v>0</v>
      </c>
      <c r="J8" s="18" t="s">
        <v>32</v>
      </c>
      <c r="K8" s="133">
        <f>L8</f>
        <v>2</v>
      </c>
      <c r="L8" s="134">
        <v>2</v>
      </c>
      <c r="M8" s="135">
        <f>L8</f>
        <v>2</v>
      </c>
      <c r="N8" s="18">
        <v>1</v>
      </c>
      <c r="O8" s="136" t="s">
        <v>139</v>
      </c>
      <c r="P8" s="44" t="s">
        <v>140</v>
      </c>
      <c r="Q8" s="120" t="s">
        <v>36</v>
      </c>
      <c r="R8" s="43" t="str">
        <f t="shared" si="0"/>
        <v>IRIS</v>
      </c>
      <c r="T8" s="131"/>
    </row>
    <row r="9" spans="1:24">
      <c r="A9" s="120" t="s">
        <v>141</v>
      </c>
      <c r="B9" s="44" t="s">
        <v>142</v>
      </c>
      <c r="C9" s="44" t="s">
        <v>143</v>
      </c>
      <c r="D9" s="44" t="s">
        <v>30</v>
      </c>
      <c r="E9" s="121" t="s">
        <v>115</v>
      </c>
      <c r="F9" s="122" t="s">
        <v>71</v>
      </c>
      <c r="G9" s="127" t="s">
        <v>116</v>
      </c>
      <c r="H9" s="44" t="s">
        <v>59</v>
      </c>
      <c r="I9" s="18">
        <v>0</v>
      </c>
      <c r="J9" s="18" t="s">
        <v>32</v>
      </c>
      <c r="K9" s="130">
        <f>L9</f>
        <v>6.2E-2</v>
      </c>
      <c r="L9" s="18">
        <v>6.2E-2</v>
      </c>
      <c r="M9" s="125">
        <f>L9</f>
        <v>6.2E-2</v>
      </c>
      <c r="N9" s="18">
        <v>1</v>
      </c>
      <c r="O9" s="18" t="s">
        <v>117</v>
      </c>
      <c r="P9" s="44" t="s">
        <v>144</v>
      </c>
      <c r="Q9" s="120" t="s">
        <v>36</v>
      </c>
      <c r="R9" s="43" t="str">
        <f t="shared" si="0"/>
        <v>IRIS</v>
      </c>
      <c r="T9" s="131"/>
    </row>
    <row r="10" spans="1:24">
      <c r="A10" s="120" t="s">
        <v>145</v>
      </c>
      <c r="B10" s="44" t="s">
        <v>146</v>
      </c>
      <c r="C10" s="44" t="s">
        <v>147</v>
      </c>
      <c r="D10" s="129" t="s">
        <v>38</v>
      </c>
      <c r="E10" s="128" t="s">
        <v>34</v>
      </c>
      <c r="F10" s="122" t="s">
        <v>27</v>
      </c>
      <c r="G10" s="127" t="s">
        <v>116</v>
      </c>
      <c r="H10" s="44" t="s">
        <v>59</v>
      </c>
      <c r="I10" s="18">
        <v>0</v>
      </c>
      <c r="J10" s="18" t="s">
        <v>32</v>
      </c>
      <c r="K10" s="65">
        <v>1.016</v>
      </c>
      <c r="L10" s="18">
        <v>1.056</v>
      </c>
      <c r="M10" s="96">
        <v>1.0980000000000001</v>
      </c>
      <c r="N10" s="18">
        <v>1</v>
      </c>
      <c r="O10" s="18" t="s">
        <v>148</v>
      </c>
      <c r="P10" s="44" t="s">
        <v>149</v>
      </c>
      <c r="Q10" s="120" t="s">
        <v>36</v>
      </c>
      <c r="R10" s="29" t="s">
        <v>150</v>
      </c>
    </row>
    <row r="11" spans="1:24">
      <c r="A11" s="153" t="s">
        <v>151</v>
      </c>
      <c r="B11" s="127" t="s">
        <v>152</v>
      </c>
      <c r="C11" s="127" t="s">
        <v>153</v>
      </c>
      <c r="D11" s="44" t="s">
        <v>30</v>
      </c>
      <c r="E11" s="128" t="s">
        <v>34</v>
      </c>
      <c r="F11" s="122" t="s">
        <v>27</v>
      </c>
      <c r="G11" s="129" t="s">
        <v>128</v>
      </c>
      <c r="H11" s="44" t="s">
        <v>59</v>
      </c>
      <c r="I11" s="18">
        <v>0</v>
      </c>
      <c r="J11" s="18" t="s">
        <v>32</v>
      </c>
      <c r="K11" s="154">
        <v>1.0032000000000001</v>
      </c>
      <c r="L11" s="154">
        <v>1.0053000000000001</v>
      </c>
      <c r="M11" s="154">
        <v>1.0074000000000001</v>
      </c>
      <c r="N11" s="155">
        <v>1</v>
      </c>
      <c r="O11" s="155" t="s">
        <v>154</v>
      </c>
      <c r="P11" s="44" t="s">
        <v>58</v>
      </c>
      <c r="Q11" s="120" t="s">
        <v>36</v>
      </c>
      <c r="R11" s="29" t="s">
        <v>155</v>
      </c>
      <c r="U11" s="137"/>
      <c r="V11" s="67"/>
      <c r="W11" s="67"/>
      <c r="X11" s="138"/>
    </row>
    <row r="12" spans="1:24">
      <c r="A12" s="153" t="s">
        <v>151</v>
      </c>
      <c r="B12" s="127" t="s">
        <v>152</v>
      </c>
      <c r="C12" s="127" t="s">
        <v>156</v>
      </c>
      <c r="D12" s="44" t="s">
        <v>30</v>
      </c>
      <c r="E12" s="128" t="s">
        <v>34</v>
      </c>
      <c r="F12" s="122" t="s">
        <v>27</v>
      </c>
      <c r="G12" s="129" t="s">
        <v>128</v>
      </c>
      <c r="H12" s="139" t="s">
        <v>28</v>
      </c>
      <c r="I12" s="18">
        <v>0</v>
      </c>
      <c r="J12" s="18" t="s">
        <v>32</v>
      </c>
      <c r="K12" s="154">
        <v>1.0042</v>
      </c>
      <c r="L12" s="154">
        <v>1.0059</v>
      </c>
      <c r="M12" s="154">
        <v>1.0075000000000001</v>
      </c>
      <c r="N12" s="155">
        <v>1</v>
      </c>
      <c r="O12" s="155" t="s">
        <v>154</v>
      </c>
      <c r="P12" s="44" t="s">
        <v>157</v>
      </c>
      <c r="Q12" s="44" t="s">
        <v>58</v>
      </c>
      <c r="R12" s="29" t="s">
        <v>155</v>
      </c>
      <c r="U12" s="137"/>
      <c r="V12" s="67"/>
      <c r="W12" s="67"/>
      <c r="X12" s="138"/>
    </row>
    <row r="13" spans="1:24">
      <c r="A13" s="153" t="s">
        <v>151</v>
      </c>
      <c r="B13" s="127" t="s">
        <v>152</v>
      </c>
      <c r="C13" s="127" t="s">
        <v>158</v>
      </c>
      <c r="D13" s="44" t="s">
        <v>30</v>
      </c>
      <c r="E13" s="128" t="s">
        <v>34</v>
      </c>
      <c r="F13" s="122" t="s">
        <v>71</v>
      </c>
      <c r="G13" s="129" t="s">
        <v>128</v>
      </c>
      <c r="H13" s="44" t="s">
        <v>59</v>
      </c>
      <c r="I13" s="18">
        <v>0</v>
      </c>
      <c r="J13" s="18" t="s">
        <v>32</v>
      </c>
      <c r="K13" s="154">
        <v>1.0037</v>
      </c>
      <c r="L13" s="154">
        <v>1.006</v>
      </c>
      <c r="M13" s="154">
        <v>1.0084</v>
      </c>
      <c r="N13" s="155">
        <v>1</v>
      </c>
      <c r="O13" s="155" t="s">
        <v>154</v>
      </c>
      <c r="P13" s="44" t="s">
        <v>159</v>
      </c>
      <c r="Q13" s="120" t="s">
        <v>36</v>
      </c>
      <c r="R13" s="29" t="s">
        <v>155</v>
      </c>
    </row>
    <row r="14" spans="1:24">
      <c r="A14" s="153" t="s">
        <v>151</v>
      </c>
      <c r="B14" s="127" t="s">
        <v>152</v>
      </c>
      <c r="C14" s="127" t="s">
        <v>160</v>
      </c>
      <c r="D14" s="44" t="s">
        <v>30</v>
      </c>
      <c r="E14" s="128" t="s">
        <v>34</v>
      </c>
      <c r="F14" s="122" t="s">
        <v>27</v>
      </c>
      <c r="G14" s="129" t="s">
        <v>128</v>
      </c>
      <c r="H14" s="139" t="s">
        <v>28</v>
      </c>
      <c r="I14" s="18">
        <v>0</v>
      </c>
      <c r="J14" s="18" t="s">
        <v>32</v>
      </c>
      <c r="K14" s="154">
        <v>1.0069999999999999</v>
      </c>
      <c r="L14" s="154">
        <v>1.0105999999999999</v>
      </c>
      <c r="M14" s="154">
        <v>1.0147999999999999</v>
      </c>
      <c r="N14" s="155">
        <v>1</v>
      </c>
      <c r="O14" s="155" t="s">
        <v>154</v>
      </c>
      <c r="P14" s="44" t="s">
        <v>157</v>
      </c>
      <c r="Q14" s="44" t="s">
        <v>161</v>
      </c>
      <c r="R14" s="29" t="s">
        <v>155</v>
      </c>
    </row>
    <row r="15" spans="1:24">
      <c r="A15" s="153" t="s">
        <v>151</v>
      </c>
      <c r="B15" s="127" t="s">
        <v>152</v>
      </c>
      <c r="C15" s="127" t="s">
        <v>162</v>
      </c>
      <c r="D15" s="44" t="s">
        <v>30</v>
      </c>
      <c r="E15" s="128" t="s">
        <v>34</v>
      </c>
      <c r="F15" s="122" t="s">
        <v>27</v>
      </c>
      <c r="G15" s="129" t="s">
        <v>128</v>
      </c>
      <c r="H15" s="44" t="s">
        <v>59</v>
      </c>
      <c r="I15" s="18">
        <v>0</v>
      </c>
      <c r="J15" s="18" t="s">
        <v>32</v>
      </c>
      <c r="K15" s="154">
        <v>1.0018</v>
      </c>
      <c r="L15" s="154">
        <v>1.0074000000000001</v>
      </c>
      <c r="M15" s="154">
        <v>1.0141</v>
      </c>
      <c r="N15" s="155">
        <v>1</v>
      </c>
      <c r="O15" s="155" t="s">
        <v>154</v>
      </c>
      <c r="P15" s="44" t="s">
        <v>161</v>
      </c>
      <c r="Q15" s="120" t="s">
        <v>36</v>
      </c>
      <c r="R15" s="29" t="s">
        <v>155</v>
      </c>
    </row>
    <row r="16" spans="1:24">
      <c r="A16" s="153" t="s">
        <v>151</v>
      </c>
      <c r="B16" s="127" t="s">
        <v>152</v>
      </c>
      <c r="C16" s="127" t="s">
        <v>163</v>
      </c>
      <c r="D16" s="44" t="s">
        <v>30</v>
      </c>
      <c r="E16" s="128" t="s">
        <v>34</v>
      </c>
      <c r="F16" s="122" t="s">
        <v>71</v>
      </c>
      <c r="G16" s="129" t="s">
        <v>128</v>
      </c>
      <c r="H16" s="139" t="s">
        <v>28</v>
      </c>
      <c r="I16" s="18">
        <v>0</v>
      </c>
      <c r="J16" s="18" t="s">
        <v>32</v>
      </c>
      <c r="K16" s="154">
        <v>1.0141</v>
      </c>
      <c r="L16" s="154">
        <v>1.0407</v>
      </c>
      <c r="M16" s="154">
        <v>1.0690999999999999</v>
      </c>
      <c r="N16" s="155">
        <v>1</v>
      </c>
      <c r="O16" s="155" t="s">
        <v>154</v>
      </c>
      <c r="P16" s="44" t="s">
        <v>157</v>
      </c>
      <c r="Q16" s="44" t="s">
        <v>164</v>
      </c>
      <c r="R16" s="29" t="s">
        <v>165</v>
      </c>
    </row>
    <row r="17" spans="1:24">
      <c r="A17" s="153" t="s">
        <v>151</v>
      </c>
      <c r="B17" s="127" t="s">
        <v>152</v>
      </c>
      <c r="C17" s="127" t="s">
        <v>166</v>
      </c>
      <c r="D17" s="44" t="s">
        <v>30</v>
      </c>
      <c r="E17" s="128" t="s">
        <v>34</v>
      </c>
      <c r="F17" s="122" t="s">
        <v>71</v>
      </c>
      <c r="G17" s="129" t="s">
        <v>128</v>
      </c>
      <c r="H17" s="139" t="s">
        <v>28</v>
      </c>
      <c r="I17" s="18">
        <v>0</v>
      </c>
      <c r="J17" s="18" t="s">
        <v>32</v>
      </c>
      <c r="K17" s="154">
        <v>1.0048999999999999</v>
      </c>
      <c r="L17" s="154">
        <v>1.0158</v>
      </c>
      <c r="M17" s="154">
        <v>1.0274000000000001</v>
      </c>
      <c r="N17" s="155">
        <v>1</v>
      </c>
      <c r="O17" s="155" t="s">
        <v>154</v>
      </c>
      <c r="P17" s="44" t="s">
        <v>157</v>
      </c>
      <c r="Q17" s="44" t="s">
        <v>43</v>
      </c>
      <c r="R17" s="29" t="s">
        <v>165</v>
      </c>
    </row>
    <row r="18" spans="1:24">
      <c r="A18" s="120" t="s">
        <v>151</v>
      </c>
      <c r="B18" s="44" t="s">
        <v>167</v>
      </c>
      <c r="C18" s="44" t="s">
        <v>114</v>
      </c>
      <c r="D18" s="44" t="s">
        <v>30</v>
      </c>
      <c r="E18" s="121" t="s">
        <v>115</v>
      </c>
      <c r="F18" s="122" t="s">
        <v>71</v>
      </c>
      <c r="G18" s="127" t="s">
        <v>116</v>
      </c>
      <c r="H18" s="44" t="s">
        <v>59</v>
      </c>
      <c r="I18" s="18">
        <v>0</v>
      </c>
      <c r="J18" s="18" t="s">
        <v>32</v>
      </c>
      <c r="K18" s="140">
        <f t="shared" ref="K18:K24" si="1">L18</f>
        <v>4.3E-3</v>
      </c>
      <c r="L18" s="18">
        <v>4.3E-3</v>
      </c>
      <c r="M18" s="125">
        <f t="shared" ref="M18:M24" si="2">L18</f>
        <v>4.3E-3</v>
      </c>
      <c r="N18" s="18">
        <v>1</v>
      </c>
      <c r="O18" s="18" t="s">
        <v>117</v>
      </c>
      <c r="P18" s="44" t="s">
        <v>58</v>
      </c>
      <c r="Q18" s="120" t="s">
        <v>36</v>
      </c>
      <c r="R18" s="43" t="str">
        <f t="shared" ref="R18:R24" si="3">$R$2</f>
        <v>IRIS</v>
      </c>
    </row>
    <row r="19" spans="1:24">
      <c r="A19" s="120" t="s">
        <v>151</v>
      </c>
      <c r="B19" s="44" t="s">
        <v>167</v>
      </c>
      <c r="C19" s="44" t="s">
        <v>114</v>
      </c>
      <c r="D19" s="44" t="s">
        <v>30</v>
      </c>
      <c r="E19" s="132" t="s">
        <v>138</v>
      </c>
      <c r="F19" s="122" t="s">
        <v>71</v>
      </c>
      <c r="G19" s="129" t="s">
        <v>128</v>
      </c>
      <c r="H19" s="44" t="s">
        <v>59</v>
      </c>
      <c r="I19" s="18">
        <v>0</v>
      </c>
      <c r="J19" s="18" t="s">
        <v>32</v>
      </c>
      <c r="K19" s="133">
        <f t="shared" si="1"/>
        <v>21.3</v>
      </c>
      <c r="L19" s="134">
        <v>21.3</v>
      </c>
      <c r="M19" s="135">
        <f t="shared" si="2"/>
        <v>21.3</v>
      </c>
      <c r="N19" s="18">
        <v>1</v>
      </c>
      <c r="O19" s="136" t="s">
        <v>139</v>
      </c>
      <c r="P19" s="44" t="s">
        <v>58</v>
      </c>
      <c r="Q19" s="120" t="s">
        <v>36</v>
      </c>
      <c r="R19" s="43" t="str">
        <f t="shared" si="3"/>
        <v>IRIS</v>
      </c>
    </row>
    <row r="20" spans="1:24">
      <c r="A20" s="120" t="s">
        <v>151</v>
      </c>
      <c r="B20" s="44" t="s">
        <v>167</v>
      </c>
      <c r="C20" s="44" t="s">
        <v>168</v>
      </c>
      <c r="D20" s="44" t="s">
        <v>30</v>
      </c>
      <c r="E20" s="132" t="s">
        <v>138</v>
      </c>
      <c r="F20" s="122" t="s">
        <v>71</v>
      </c>
      <c r="G20" s="129" t="s">
        <v>128</v>
      </c>
      <c r="H20" s="44" t="s">
        <v>59</v>
      </c>
      <c r="I20" s="18">
        <v>0</v>
      </c>
      <c r="J20" s="18" t="s">
        <v>32</v>
      </c>
      <c r="K20" s="133">
        <f t="shared" si="1"/>
        <v>17.600000000000001</v>
      </c>
      <c r="L20" s="134">
        <v>17.600000000000001</v>
      </c>
      <c r="M20" s="135">
        <f t="shared" si="2"/>
        <v>17.600000000000001</v>
      </c>
      <c r="N20" s="18">
        <v>1</v>
      </c>
      <c r="O20" s="136" t="s">
        <v>139</v>
      </c>
      <c r="P20" s="44" t="s">
        <v>161</v>
      </c>
      <c r="Q20" s="120" t="s">
        <v>36</v>
      </c>
      <c r="R20" s="43" t="str">
        <f t="shared" si="3"/>
        <v>IRIS</v>
      </c>
    </row>
    <row r="21" spans="1:24">
      <c r="A21" s="44" t="s">
        <v>169</v>
      </c>
      <c r="B21" s="44" t="s">
        <v>170</v>
      </c>
      <c r="C21" s="44" t="s">
        <v>171</v>
      </c>
      <c r="D21" s="44" t="s">
        <v>30</v>
      </c>
      <c r="E21" s="121" t="s">
        <v>115</v>
      </c>
      <c r="F21" s="122" t="s">
        <v>71</v>
      </c>
      <c r="G21" s="127" t="s">
        <v>116</v>
      </c>
      <c r="H21" s="44" t="s">
        <v>59</v>
      </c>
      <c r="I21" s="18">
        <v>0</v>
      </c>
      <c r="J21" s="18" t="s">
        <v>32</v>
      </c>
      <c r="K21" s="141">
        <f t="shared" si="1"/>
        <v>8.8000000000000004E-6</v>
      </c>
      <c r="L21" s="142">
        <v>8.8000000000000004E-6</v>
      </c>
      <c r="M21" s="143">
        <f t="shared" si="2"/>
        <v>8.8000000000000004E-6</v>
      </c>
      <c r="N21" s="18">
        <v>1</v>
      </c>
      <c r="O21" s="18" t="s">
        <v>117</v>
      </c>
      <c r="P21" s="44" t="s">
        <v>172</v>
      </c>
      <c r="Q21" s="120" t="s">
        <v>36</v>
      </c>
      <c r="R21" s="43" t="str">
        <f t="shared" si="3"/>
        <v>IRIS</v>
      </c>
    </row>
    <row r="22" spans="1:24">
      <c r="A22" s="44" t="s">
        <v>169</v>
      </c>
      <c r="B22" s="44" t="s">
        <v>170</v>
      </c>
      <c r="C22" s="44" t="s">
        <v>173</v>
      </c>
      <c r="D22" s="44" t="s">
        <v>30</v>
      </c>
      <c r="E22" s="132" t="s">
        <v>138</v>
      </c>
      <c r="F22" s="122" t="s">
        <v>71</v>
      </c>
      <c r="G22" s="129" t="s">
        <v>128</v>
      </c>
      <c r="H22" s="44" t="s">
        <v>59</v>
      </c>
      <c r="I22" s="18">
        <v>0</v>
      </c>
      <c r="J22" s="18" t="s">
        <v>32</v>
      </c>
      <c r="K22" s="133">
        <f t="shared" si="1"/>
        <v>1.4</v>
      </c>
      <c r="L22" s="134">
        <v>1.4</v>
      </c>
      <c r="M22" s="135">
        <f t="shared" si="2"/>
        <v>1.4</v>
      </c>
      <c r="N22" s="18">
        <v>1</v>
      </c>
      <c r="O22" s="136" t="s">
        <v>139</v>
      </c>
      <c r="P22" s="44" t="s">
        <v>172</v>
      </c>
      <c r="Q22" s="120" t="s">
        <v>36</v>
      </c>
      <c r="R22" s="43" t="str">
        <f t="shared" si="3"/>
        <v>IRIS</v>
      </c>
    </row>
    <row r="23" spans="1:24">
      <c r="A23" s="44" t="s">
        <v>174</v>
      </c>
      <c r="B23" s="44" t="s">
        <v>175</v>
      </c>
      <c r="C23" s="44" t="s">
        <v>176</v>
      </c>
      <c r="D23" s="44" t="s">
        <v>30</v>
      </c>
      <c r="E23" s="121" t="s">
        <v>115</v>
      </c>
      <c r="F23" s="122" t="s">
        <v>71</v>
      </c>
      <c r="G23" s="127" t="s">
        <v>116</v>
      </c>
      <c r="H23" s="44" t="s">
        <v>59</v>
      </c>
      <c r="I23" s="18">
        <v>0</v>
      </c>
      <c r="J23" s="18" t="s">
        <v>32</v>
      </c>
      <c r="K23" s="130">
        <f t="shared" si="1"/>
        <v>5.0000000000000001E-3</v>
      </c>
      <c r="L23" s="18">
        <v>5.0000000000000001E-3</v>
      </c>
      <c r="M23" s="125">
        <f t="shared" si="2"/>
        <v>5.0000000000000001E-3</v>
      </c>
      <c r="N23" s="18">
        <v>1</v>
      </c>
      <c r="O23" s="18" t="s">
        <v>117</v>
      </c>
      <c r="P23" s="44" t="s">
        <v>177</v>
      </c>
      <c r="Q23" s="120" t="s">
        <v>36</v>
      </c>
      <c r="R23" s="43" t="str">
        <f t="shared" si="3"/>
        <v>IRIS</v>
      </c>
    </row>
    <row r="24" spans="1:24">
      <c r="A24" s="44" t="s">
        <v>178</v>
      </c>
      <c r="B24" s="44" t="s">
        <v>179</v>
      </c>
      <c r="C24" s="44" t="s">
        <v>180</v>
      </c>
      <c r="D24" s="44" t="s">
        <v>30</v>
      </c>
      <c r="E24" s="121" t="s">
        <v>115</v>
      </c>
      <c r="F24" s="122" t="s">
        <v>71</v>
      </c>
      <c r="G24" s="127" t="s">
        <v>116</v>
      </c>
      <c r="H24" s="44" t="s">
        <v>59</v>
      </c>
      <c r="I24" s="18">
        <v>0</v>
      </c>
      <c r="J24" s="18" t="s">
        <v>32</v>
      </c>
      <c r="K24" s="141">
        <f t="shared" si="1"/>
        <v>4.7999999999999998E-6</v>
      </c>
      <c r="L24" s="142">
        <v>4.7999999999999998E-6</v>
      </c>
      <c r="M24" s="143">
        <f t="shared" si="2"/>
        <v>4.7999999999999998E-6</v>
      </c>
      <c r="N24" s="18">
        <v>1</v>
      </c>
      <c r="O24" s="18" t="s">
        <v>117</v>
      </c>
      <c r="P24" s="44" t="s">
        <v>172</v>
      </c>
      <c r="Q24" s="120" t="s">
        <v>36</v>
      </c>
      <c r="R24" s="43" t="str">
        <f t="shared" si="3"/>
        <v>IRIS</v>
      </c>
    </row>
    <row r="25" spans="1:24">
      <c r="A25" s="44" t="s">
        <v>181</v>
      </c>
      <c r="B25" s="44" t="s">
        <v>182</v>
      </c>
      <c r="C25" s="44" t="s">
        <v>183</v>
      </c>
      <c r="D25" s="44" t="s">
        <v>30</v>
      </c>
      <c r="E25" s="128" t="s">
        <v>34</v>
      </c>
      <c r="F25" s="122" t="s">
        <v>71</v>
      </c>
      <c r="G25" s="129" t="s">
        <v>128</v>
      </c>
      <c r="H25" s="44" t="s">
        <v>59</v>
      </c>
      <c r="I25" s="18">
        <v>0</v>
      </c>
      <c r="J25" s="18" t="s">
        <v>32</v>
      </c>
      <c r="K25" s="18">
        <v>1.1399999999999999</v>
      </c>
      <c r="L25" s="18">
        <v>1.28</v>
      </c>
      <c r="M25" s="18">
        <v>1.44</v>
      </c>
      <c r="N25" s="18">
        <v>1</v>
      </c>
      <c r="O25" s="18" t="s">
        <v>184</v>
      </c>
      <c r="P25" s="44" t="s">
        <v>77</v>
      </c>
      <c r="Q25" s="120" t="s">
        <v>36</v>
      </c>
      <c r="R25" s="29" t="s">
        <v>185</v>
      </c>
    </row>
    <row r="26" spans="1:24">
      <c r="A26" s="44" t="s">
        <v>186</v>
      </c>
      <c r="B26" s="44" t="s">
        <v>187</v>
      </c>
      <c r="C26" s="44" t="s">
        <v>188</v>
      </c>
      <c r="D26" s="44" t="s">
        <v>30</v>
      </c>
      <c r="E26" s="121" t="s">
        <v>115</v>
      </c>
      <c r="F26" s="122" t="s">
        <v>71</v>
      </c>
      <c r="G26" s="127" t="s">
        <v>116</v>
      </c>
      <c r="H26" s="44" t="s">
        <v>59</v>
      </c>
      <c r="I26" s="18">
        <v>0</v>
      </c>
      <c r="J26" s="18" t="s">
        <v>32</v>
      </c>
      <c r="K26" s="124">
        <f>L26</f>
        <v>6.2E-4</v>
      </c>
      <c r="L26" s="18">
        <v>6.2E-4</v>
      </c>
      <c r="M26" s="125">
        <f>L26</f>
        <v>6.2E-4</v>
      </c>
      <c r="N26" s="18">
        <v>1</v>
      </c>
      <c r="O26" s="18" t="s">
        <v>117</v>
      </c>
      <c r="P26" s="44" t="s">
        <v>144</v>
      </c>
      <c r="Q26" s="120" t="s">
        <v>36</v>
      </c>
      <c r="R26" s="43" t="str">
        <f t="shared" ref="R26:R31" si="4">$R$2</f>
        <v>IRIS</v>
      </c>
    </row>
    <row r="27" spans="1:24">
      <c r="A27" s="44" t="s">
        <v>189</v>
      </c>
      <c r="B27" s="44" t="s">
        <v>190</v>
      </c>
      <c r="C27" s="44" t="s">
        <v>168</v>
      </c>
      <c r="D27" s="44" t="s">
        <v>30</v>
      </c>
      <c r="E27" s="121" t="s">
        <v>115</v>
      </c>
      <c r="F27" s="122" t="s">
        <v>71</v>
      </c>
      <c r="G27" s="127" t="s">
        <v>116</v>
      </c>
      <c r="H27" s="44" t="s">
        <v>59</v>
      </c>
      <c r="I27" s="18">
        <v>0</v>
      </c>
      <c r="J27" s="18" t="s">
        <v>32</v>
      </c>
      <c r="K27" s="130">
        <f>L27</f>
        <v>6.7000000000000004E-2</v>
      </c>
      <c r="L27" s="18">
        <v>6.7000000000000004E-2</v>
      </c>
      <c r="M27" s="125">
        <f>L27</f>
        <v>6.7000000000000004E-2</v>
      </c>
      <c r="N27" s="18">
        <v>1</v>
      </c>
      <c r="O27" s="18" t="s">
        <v>117</v>
      </c>
      <c r="P27" s="44" t="s">
        <v>161</v>
      </c>
      <c r="Q27" s="120" t="s">
        <v>36</v>
      </c>
      <c r="R27" s="43" t="str">
        <f t="shared" si="4"/>
        <v>IRIS</v>
      </c>
    </row>
    <row r="28" spans="1:24">
      <c r="A28" s="44" t="s">
        <v>189</v>
      </c>
      <c r="B28" s="44" t="s">
        <v>190</v>
      </c>
      <c r="C28" s="44" t="s">
        <v>168</v>
      </c>
      <c r="D28" s="44" t="s">
        <v>30</v>
      </c>
      <c r="E28" s="132" t="s">
        <v>138</v>
      </c>
      <c r="F28" s="122" t="s">
        <v>71</v>
      </c>
      <c r="G28" s="129" t="s">
        <v>128</v>
      </c>
      <c r="H28" s="44" t="s">
        <v>59</v>
      </c>
      <c r="I28" s="18">
        <v>0</v>
      </c>
      <c r="J28" s="18" t="s">
        <v>32</v>
      </c>
      <c r="K28" s="144">
        <f>L28</f>
        <v>230</v>
      </c>
      <c r="L28" s="18">
        <v>230</v>
      </c>
      <c r="M28" s="125">
        <f>L28</f>
        <v>230</v>
      </c>
      <c r="N28" s="18">
        <v>1</v>
      </c>
      <c r="O28" s="136" t="s">
        <v>139</v>
      </c>
      <c r="P28" s="44" t="s">
        <v>161</v>
      </c>
      <c r="Q28" s="120" t="s">
        <v>36</v>
      </c>
      <c r="R28" s="43" t="str">
        <f t="shared" si="4"/>
        <v>IRIS</v>
      </c>
    </row>
    <row r="29" spans="1:24">
      <c r="A29" s="120" t="s">
        <v>191</v>
      </c>
      <c r="B29" s="44" t="s">
        <v>192</v>
      </c>
      <c r="C29" s="44" t="s">
        <v>193</v>
      </c>
      <c r="D29" s="44" t="s">
        <v>30</v>
      </c>
      <c r="E29" s="132" t="s">
        <v>138</v>
      </c>
      <c r="F29" s="122" t="s">
        <v>71</v>
      </c>
      <c r="G29" s="129" t="s">
        <v>128</v>
      </c>
      <c r="H29" s="44" t="s">
        <v>59</v>
      </c>
      <c r="I29" s="18">
        <v>0</v>
      </c>
      <c r="J29" s="18" t="s">
        <v>32</v>
      </c>
      <c r="K29" s="130">
        <f>L29</f>
        <v>2.7E-2</v>
      </c>
      <c r="L29" s="145">
        <v>2.7E-2</v>
      </c>
      <c r="M29" s="146">
        <f>L29</f>
        <v>2.7E-2</v>
      </c>
      <c r="N29" s="18">
        <v>1</v>
      </c>
      <c r="O29" s="136" t="s">
        <v>139</v>
      </c>
      <c r="P29" s="44" t="s">
        <v>122</v>
      </c>
      <c r="Q29" s="120" t="s">
        <v>36</v>
      </c>
      <c r="R29" s="43" t="str">
        <f t="shared" si="4"/>
        <v>IRIS</v>
      </c>
      <c r="U29" s="137"/>
      <c r="V29" s="67"/>
      <c r="W29" s="67"/>
      <c r="X29" s="67"/>
    </row>
    <row r="30" spans="1:24">
      <c r="A30" s="120" t="s">
        <v>191</v>
      </c>
      <c r="B30" s="44" t="s">
        <v>192</v>
      </c>
      <c r="C30" s="44" t="s">
        <v>121</v>
      </c>
      <c r="D30" s="44" t="s">
        <v>30</v>
      </c>
      <c r="E30" s="121" t="s">
        <v>115</v>
      </c>
      <c r="F30" s="122" t="s">
        <v>71</v>
      </c>
      <c r="G30" s="127" t="s">
        <v>116</v>
      </c>
      <c r="H30" s="44" t="s">
        <v>59</v>
      </c>
      <c r="I30" s="18">
        <v>0</v>
      </c>
      <c r="J30" s="18" t="s">
        <v>32</v>
      </c>
      <c r="K30" s="152">
        <v>1.9999999999999999E-6</v>
      </c>
      <c r="L30" s="142">
        <v>1.9999999999999999E-6</v>
      </c>
      <c r="M30" s="147">
        <v>7.7999999999999999E-6</v>
      </c>
      <c r="N30" s="18">
        <v>1</v>
      </c>
      <c r="O30" s="18" t="s">
        <v>117</v>
      </c>
      <c r="P30" s="44" t="s">
        <v>122</v>
      </c>
      <c r="Q30" s="120" t="s">
        <v>36</v>
      </c>
      <c r="R30" s="43" t="str">
        <f t="shared" si="4"/>
        <v>IRIS</v>
      </c>
      <c r="U30" s="137"/>
      <c r="V30" s="67"/>
      <c r="W30" s="67"/>
      <c r="X30" s="67"/>
    </row>
    <row r="31" spans="1:24">
      <c r="A31" s="120" t="s">
        <v>191</v>
      </c>
      <c r="B31" s="44" t="s">
        <v>194</v>
      </c>
      <c r="C31" s="44" t="s">
        <v>193</v>
      </c>
      <c r="D31" s="44" t="s">
        <v>30</v>
      </c>
      <c r="E31" s="132" t="s">
        <v>138</v>
      </c>
      <c r="F31" s="122" t="s">
        <v>71</v>
      </c>
      <c r="G31" s="129" t="s">
        <v>128</v>
      </c>
      <c r="H31" s="44" t="s">
        <v>59</v>
      </c>
      <c r="I31" s="18">
        <v>0</v>
      </c>
      <c r="J31" s="18" t="s">
        <v>32</v>
      </c>
      <c r="K31" s="130">
        <f>L31</f>
        <v>2.7E-2</v>
      </c>
      <c r="L31" s="145">
        <v>2.7E-2</v>
      </c>
      <c r="M31" s="146">
        <f>L31</f>
        <v>2.7E-2</v>
      </c>
      <c r="N31" s="18">
        <v>1</v>
      </c>
      <c r="O31" s="136" t="s">
        <v>139</v>
      </c>
      <c r="P31" s="44" t="s">
        <v>122</v>
      </c>
      <c r="Q31" s="120" t="s">
        <v>36</v>
      </c>
      <c r="R31" s="43" t="str">
        <f t="shared" si="4"/>
        <v>IRIS</v>
      </c>
      <c r="U31" s="137"/>
      <c r="V31" s="67"/>
      <c r="W31" s="67"/>
      <c r="X31" s="67"/>
    </row>
    <row r="32" spans="1:24">
      <c r="A32" s="153" t="s">
        <v>191</v>
      </c>
      <c r="B32" s="127" t="s">
        <v>194</v>
      </c>
      <c r="C32" s="127" t="s">
        <v>195</v>
      </c>
      <c r="D32" s="44" t="s">
        <v>30</v>
      </c>
      <c r="E32" s="128" t="s">
        <v>34</v>
      </c>
      <c r="F32" s="122" t="s">
        <v>27</v>
      </c>
      <c r="G32" s="127" t="s">
        <v>116</v>
      </c>
      <c r="H32" s="44" t="s">
        <v>59</v>
      </c>
      <c r="I32" s="18">
        <v>0</v>
      </c>
      <c r="J32" s="18" t="s">
        <v>32</v>
      </c>
      <c r="K32" s="156">
        <v>1.0044999999999999</v>
      </c>
      <c r="L32" s="154">
        <v>1.0097</v>
      </c>
      <c r="M32" s="157">
        <v>1.0148999999999999</v>
      </c>
      <c r="N32" s="155">
        <v>1</v>
      </c>
      <c r="O32" s="155" t="s">
        <v>196</v>
      </c>
      <c r="P32" s="44" t="s">
        <v>122</v>
      </c>
      <c r="Q32" s="120" t="s">
        <v>36</v>
      </c>
      <c r="R32" s="43" t="s">
        <v>197</v>
      </c>
      <c r="U32" s="137"/>
      <c r="V32" s="67"/>
      <c r="W32" s="67"/>
      <c r="X32" s="67"/>
    </row>
    <row r="1048411" spans="1:18">
      <c r="A1048411" s="114"/>
      <c r="B1048411" s="76"/>
      <c r="C1048411" s="79"/>
      <c r="D1048411" s="79"/>
      <c r="E1048411" s="114"/>
      <c r="F1048411" s="148"/>
      <c r="G1048411" s="79"/>
      <c r="H1048411" s="79"/>
      <c r="I1048411" s="81"/>
      <c r="J1048411" s="81"/>
      <c r="K1048411" s="81"/>
      <c r="L1048411" s="107"/>
      <c r="M1048411" s="82"/>
      <c r="N1048411" s="107"/>
      <c r="O1048411" s="107"/>
      <c r="P1048411" s="114"/>
      <c r="Q1048411" s="108"/>
      <c r="R1048411" s="149"/>
    </row>
    <row r="1048412" spans="1:18">
      <c r="C1048412" s="86"/>
      <c r="D1048412" s="86"/>
      <c r="G1048412" s="67"/>
      <c r="H1048412" s="86"/>
      <c r="I1048412" s="88"/>
      <c r="J1048412" s="89"/>
    </row>
    <row r="1048413" spans="1:18">
      <c r="C1048413" s="90"/>
      <c r="D1048413" s="90"/>
      <c r="G1048413" s="67"/>
      <c r="H1048413" s="86"/>
      <c r="I1048413" s="88"/>
      <c r="J1048413" s="89"/>
    </row>
    <row r="1048414" spans="1:18">
      <c r="C1048414" s="86"/>
      <c r="D1048414" s="86"/>
      <c r="G1048414" s="67"/>
      <c r="H1048414" s="86"/>
      <c r="I1048414" s="88"/>
      <c r="J1048414" s="89"/>
    </row>
  </sheetData>
  <autoFilter ref="A1:X32" xr:uid="{8958EEE7-8861-4801-8E69-7EB44BC31558}"/>
  <hyperlinks>
    <hyperlink ref="A10" r:id="rId1" display="https://commonchemistry.cas.org/detail?cas_rn=630-08-0" xr:uid="{72ADCB46-4999-42FF-9DAE-9356BFFBC65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0A86B-1C3A-4086-AEAD-71E30897F550}">
  <sheetPr>
    <tabColor rgb="FFFFCCFF"/>
  </sheetPr>
  <dimension ref="B1:G28"/>
  <sheetViews>
    <sheetView workbookViewId="0">
      <selection activeCell="I23" sqref="I23"/>
    </sheetView>
  </sheetViews>
  <sheetFormatPr defaultRowHeight="14.4"/>
  <cols>
    <col min="1" max="1" width="4" customWidth="1"/>
    <col min="2" max="2" width="18.6640625" style="181" customWidth="1"/>
    <col min="3" max="3" width="12.88671875" style="181" customWidth="1"/>
    <col min="4" max="4" width="66.88671875" style="181" customWidth="1"/>
    <col min="5" max="5" width="8.6640625" style="181" customWidth="1"/>
    <col min="6" max="6" width="81" style="181" customWidth="1"/>
  </cols>
  <sheetData>
    <row r="1" spans="2:7">
      <c r="B1" s="180"/>
      <c r="G1" s="162"/>
    </row>
    <row r="2" spans="2:7">
      <c r="B2" s="182" t="s">
        <v>21</v>
      </c>
      <c r="C2" s="187" t="s">
        <v>198</v>
      </c>
      <c r="D2" s="182" t="s">
        <v>199</v>
      </c>
      <c r="E2" s="190" t="s">
        <v>200</v>
      </c>
      <c r="F2" s="182" t="s">
        <v>201</v>
      </c>
      <c r="G2" s="162"/>
    </row>
    <row r="3" spans="2:7">
      <c r="B3" s="183" t="s">
        <v>89</v>
      </c>
      <c r="C3" s="188">
        <v>0.747</v>
      </c>
      <c r="D3" s="183" t="s">
        <v>202</v>
      </c>
      <c r="E3" s="188">
        <v>0.03</v>
      </c>
      <c r="F3" s="183" t="s">
        <v>203</v>
      </c>
      <c r="G3" s="162"/>
    </row>
    <row r="4" spans="2:7">
      <c r="B4" s="183" t="s">
        <v>204</v>
      </c>
      <c r="C4" s="188">
        <v>0.93</v>
      </c>
      <c r="D4" s="183" t="s">
        <v>205</v>
      </c>
      <c r="E4" s="188">
        <v>23.6</v>
      </c>
      <c r="F4" s="192" t="s">
        <v>206</v>
      </c>
      <c r="G4" s="162"/>
    </row>
    <row r="5" spans="2:7">
      <c r="B5" s="183" t="s">
        <v>207</v>
      </c>
      <c r="C5" s="188">
        <v>0.93</v>
      </c>
      <c r="D5" s="183" t="s">
        <v>205</v>
      </c>
      <c r="E5" s="188">
        <v>36.200000000000003</v>
      </c>
      <c r="F5" s="192" t="s">
        <v>206</v>
      </c>
      <c r="G5" s="162"/>
    </row>
    <row r="6" spans="2:7" ht="28.8">
      <c r="B6" s="183" t="s">
        <v>208</v>
      </c>
      <c r="C6" s="188">
        <v>0.68</v>
      </c>
      <c r="D6" s="183" t="s">
        <v>209</v>
      </c>
      <c r="E6" s="188">
        <v>70</v>
      </c>
      <c r="F6" s="183" t="s">
        <v>210</v>
      </c>
      <c r="G6" s="162"/>
    </row>
    <row r="7" spans="2:7">
      <c r="B7" s="183" t="s">
        <v>161</v>
      </c>
      <c r="C7" s="188">
        <v>0.9</v>
      </c>
      <c r="D7" s="183" t="s">
        <v>205</v>
      </c>
      <c r="E7" s="188">
        <v>5</v>
      </c>
      <c r="F7" s="183" t="s">
        <v>211</v>
      </c>
      <c r="G7" s="162"/>
    </row>
    <row r="8" spans="2:7">
      <c r="B8" s="184" t="s">
        <v>177</v>
      </c>
      <c r="C8" s="188">
        <v>0.77</v>
      </c>
      <c r="D8" s="183" t="s">
        <v>205</v>
      </c>
      <c r="E8" s="188">
        <v>5</v>
      </c>
      <c r="F8" s="183" t="s">
        <v>211</v>
      </c>
      <c r="G8" s="163"/>
    </row>
    <row r="9" spans="2:7">
      <c r="B9" s="183" t="s">
        <v>65</v>
      </c>
      <c r="C9" s="188">
        <v>0.82</v>
      </c>
      <c r="D9" s="183" t="s">
        <v>205</v>
      </c>
      <c r="E9" s="188">
        <v>10</v>
      </c>
      <c r="F9" s="183" t="s">
        <v>211</v>
      </c>
      <c r="G9" s="163"/>
    </row>
    <row r="10" spans="2:7" ht="43.2">
      <c r="B10" s="183" t="s">
        <v>74</v>
      </c>
      <c r="C10" s="188">
        <v>0.68</v>
      </c>
      <c r="D10" s="183" t="s">
        <v>205</v>
      </c>
      <c r="E10" s="188">
        <v>8</v>
      </c>
      <c r="F10" s="193" t="s">
        <v>212</v>
      </c>
      <c r="G10" s="162"/>
    </row>
    <row r="11" spans="2:7">
      <c r="B11" s="183" t="s">
        <v>213</v>
      </c>
      <c r="C11" s="188">
        <v>0.9</v>
      </c>
      <c r="D11" s="183" t="s">
        <v>214</v>
      </c>
      <c r="E11" s="188">
        <v>20</v>
      </c>
      <c r="F11" s="183" t="s">
        <v>211</v>
      </c>
      <c r="G11" s="162"/>
    </row>
    <row r="12" spans="2:7">
      <c r="B12" s="183" t="s">
        <v>68</v>
      </c>
      <c r="C12" s="188">
        <v>0.79</v>
      </c>
      <c r="D12" s="183" t="s">
        <v>215</v>
      </c>
      <c r="E12" s="188">
        <v>0.08</v>
      </c>
      <c r="F12" s="183" t="s">
        <v>216</v>
      </c>
      <c r="G12" s="162"/>
    </row>
    <row r="13" spans="2:7">
      <c r="B13" s="183" t="s">
        <v>58</v>
      </c>
      <c r="C13" s="188">
        <v>0.47299999999999998</v>
      </c>
      <c r="D13" s="183" t="s">
        <v>205</v>
      </c>
      <c r="E13" s="188">
        <v>1.8</v>
      </c>
      <c r="F13" s="192" t="s">
        <v>217</v>
      </c>
      <c r="G13" s="162"/>
    </row>
    <row r="14" spans="2:7">
      <c r="B14" s="183" t="s">
        <v>218</v>
      </c>
      <c r="C14" s="188">
        <v>0.57999999999999996</v>
      </c>
      <c r="D14" s="183" t="s">
        <v>205</v>
      </c>
      <c r="E14" s="188">
        <v>5</v>
      </c>
      <c r="F14" s="183" t="s">
        <v>211</v>
      </c>
    </row>
    <row r="15" spans="2:7">
      <c r="B15" s="183" t="s">
        <v>56</v>
      </c>
      <c r="C15" s="188">
        <v>0.70699999999999996</v>
      </c>
      <c r="D15" s="183" t="s">
        <v>205</v>
      </c>
      <c r="E15" s="188">
        <v>14.8</v>
      </c>
      <c r="F15" s="192" t="s">
        <v>206</v>
      </c>
    </row>
    <row r="16" spans="2:7">
      <c r="B16" s="183" t="s">
        <v>77</v>
      </c>
      <c r="C16" s="188">
        <v>0.66</v>
      </c>
      <c r="D16" s="192" t="s">
        <v>219</v>
      </c>
      <c r="E16" s="188">
        <v>9.1</v>
      </c>
      <c r="F16" s="192" t="s">
        <v>206</v>
      </c>
    </row>
    <row r="17" spans="2:6" ht="72">
      <c r="B17" s="183" t="s">
        <v>220</v>
      </c>
      <c r="C17" s="188">
        <v>0.67</v>
      </c>
      <c r="D17" s="185" t="s">
        <v>221</v>
      </c>
      <c r="E17" s="188">
        <v>5</v>
      </c>
      <c r="F17" s="183" t="s">
        <v>211</v>
      </c>
    </row>
    <row r="18" spans="2:6" ht="48.75" customHeight="1">
      <c r="B18" s="183" t="s">
        <v>222</v>
      </c>
      <c r="C18" s="188">
        <v>0.67</v>
      </c>
      <c r="D18" s="183" t="s">
        <v>223</v>
      </c>
      <c r="E18" s="188">
        <v>5</v>
      </c>
      <c r="F18" s="183" t="s">
        <v>211</v>
      </c>
    </row>
    <row r="19" spans="2:6" ht="15.6">
      <c r="B19" s="186" t="s">
        <v>122</v>
      </c>
      <c r="C19" s="189">
        <v>0.6</v>
      </c>
      <c r="D19" s="183" t="s">
        <v>211</v>
      </c>
      <c r="E19" s="188">
        <v>5</v>
      </c>
      <c r="F19" s="183" t="s">
        <v>211</v>
      </c>
    </row>
    <row r="20" spans="2:6" ht="57.6">
      <c r="B20" s="186" t="s">
        <v>130</v>
      </c>
      <c r="C20" s="189">
        <v>0.65</v>
      </c>
      <c r="D20" s="193" t="s">
        <v>224</v>
      </c>
      <c r="E20" s="188">
        <v>1.8</v>
      </c>
      <c r="F20" s="183" t="s">
        <v>225</v>
      </c>
    </row>
    <row r="21" spans="2:6" ht="15.6">
      <c r="B21" s="186" t="s">
        <v>144</v>
      </c>
      <c r="C21" s="189">
        <v>0.47299999999999998</v>
      </c>
      <c r="D21" s="183" t="s">
        <v>226</v>
      </c>
      <c r="E21" s="188">
        <v>1.8</v>
      </c>
      <c r="F21" s="183" t="s">
        <v>225</v>
      </c>
    </row>
    <row r="22" spans="2:6" ht="15.6">
      <c r="B22" s="186" t="s">
        <v>159</v>
      </c>
      <c r="C22" s="189">
        <v>0.69</v>
      </c>
      <c r="D22" s="183" t="s">
        <v>227</v>
      </c>
      <c r="E22" s="188">
        <v>5</v>
      </c>
      <c r="F22" s="183" t="s">
        <v>211</v>
      </c>
    </row>
    <row r="23" spans="2:6" ht="72">
      <c r="B23" s="186" t="s">
        <v>172</v>
      </c>
      <c r="C23" s="189">
        <v>0.73</v>
      </c>
      <c r="D23" s="183" t="s">
        <v>228</v>
      </c>
      <c r="E23" s="188">
        <v>1.8</v>
      </c>
      <c r="F23" s="183" t="s">
        <v>225</v>
      </c>
    </row>
    <row r="24" spans="2:6" ht="28.8">
      <c r="B24" s="183" t="s">
        <v>140</v>
      </c>
      <c r="C24" s="188">
        <v>0.67</v>
      </c>
      <c r="D24" s="183" t="s">
        <v>229</v>
      </c>
      <c r="E24" s="188">
        <v>5</v>
      </c>
      <c r="F24" s="183" t="s">
        <v>211</v>
      </c>
    </row>
    <row r="25" spans="2:6">
      <c r="B25" s="191" t="s">
        <v>230</v>
      </c>
    </row>
    <row r="26" spans="2:6">
      <c r="B26" s="191" t="s">
        <v>231</v>
      </c>
    </row>
    <row r="27" spans="2:6">
      <c r="B27" s="191" t="s">
        <v>232</v>
      </c>
    </row>
    <row r="28" spans="2:6">
      <c r="B28" s="191" t="s">
        <v>233</v>
      </c>
    </row>
  </sheetData>
  <hyperlinks>
    <hyperlink ref="F10" r:id="rId1" location=":~:text=Alzheimer's%20disease%20%E2%80%93%20around%20eight%20to,to%20three%20years%20after%20diagnosis.." xr:uid="{41B11214-372B-4739-BA2C-DBDA38F6589A}"/>
    <hyperlink ref="D20" r:id="rId2" location=":~:text=Lymphoma%20survival%20reaches%2060%20per,highest%2C%20exceeding%2071%20per%20cent." xr:uid="{45B82D43-80A9-4BB9-A299-75DD66BE688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B081E-1E8B-4014-B169-538C08FF7E07}">
  <sheetPr>
    <tabColor theme="5" tint="0.79998168889431442"/>
  </sheetPr>
  <dimension ref="A1:C41"/>
  <sheetViews>
    <sheetView zoomScale="90" zoomScaleNormal="90" workbookViewId="0">
      <pane ySplit="1" topLeftCell="A19" activePane="bottomLeft" state="frozen"/>
      <selection pane="bottomLeft" activeCell="B40" sqref="B40"/>
    </sheetView>
  </sheetViews>
  <sheetFormatPr defaultColWidth="9.109375" defaultRowHeight="13.8"/>
  <cols>
    <col min="1" max="1" width="31.33203125" style="171" customWidth="1"/>
    <col min="2" max="2" width="112.6640625" style="171" customWidth="1"/>
    <col min="3" max="3" width="110" style="177" customWidth="1"/>
    <col min="4" max="16384" width="9.109375" style="171"/>
  </cols>
  <sheetData>
    <row r="1" spans="1:3" s="167" customFormat="1">
      <c r="A1" s="165" t="s">
        <v>234</v>
      </c>
      <c r="B1" s="165" t="s">
        <v>235</v>
      </c>
      <c r="C1" s="166" t="s">
        <v>236</v>
      </c>
    </row>
    <row r="2" spans="1:3" s="168" customFormat="1">
      <c r="A2" s="207" t="s">
        <v>237</v>
      </c>
      <c r="B2" s="208"/>
      <c r="C2" s="209"/>
    </row>
    <row r="3" spans="1:3" ht="27.6">
      <c r="A3" s="169" t="s">
        <v>238</v>
      </c>
      <c r="B3" s="173" t="s">
        <v>239</v>
      </c>
      <c r="C3" s="164" t="s">
        <v>240</v>
      </c>
    </row>
    <row r="4" spans="1:3" ht="41.4">
      <c r="A4" s="169" t="s">
        <v>241</v>
      </c>
      <c r="B4" s="173" t="s">
        <v>242</v>
      </c>
      <c r="C4" s="164" t="s">
        <v>243</v>
      </c>
    </row>
    <row r="5" spans="1:3" ht="27.6">
      <c r="A5" s="169" t="s">
        <v>98</v>
      </c>
      <c r="B5" s="173" t="s">
        <v>244</v>
      </c>
      <c r="C5" s="164" t="s">
        <v>245</v>
      </c>
    </row>
    <row r="6" spans="1:3" ht="41.4">
      <c r="A6" s="169" t="s">
        <v>246</v>
      </c>
      <c r="B6" s="173" t="s">
        <v>247</v>
      </c>
      <c r="C6" s="164" t="s">
        <v>248</v>
      </c>
    </row>
    <row r="7" spans="1:3" ht="14.4">
      <c r="A7" s="169" t="s">
        <v>90</v>
      </c>
      <c r="B7" s="170" t="s">
        <v>249</v>
      </c>
      <c r="C7" s="164" t="s">
        <v>250</v>
      </c>
    </row>
    <row r="8" spans="1:3" ht="41.4">
      <c r="A8" s="169" t="s">
        <v>251</v>
      </c>
      <c r="B8" s="173" t="s">
        <v>252</v>
      </c>
      <c r="C8" s="164" t="s">
        <v>253</v>
      </c>
    </row>
    <row r="9" spans="1:3" ht="41.4">
      <c r="A9" s="169" t="s">
        <v>254</v>
      </c>
      <c r="B9" s="173" t="s">
        <v>255</v>
      </c>
      <c r="C9" s="164" t="s">
        <v>256</v>
      </c>
    </row>
    <row r="10" spans="1:3" ht="27.6">
      <c r="A10" s="169" t="s">
        <v>63</v>
      </c>
      <c r="B10" s="173" t="s">
        <v>257</v>
      </c>
      <c r="C10" s="164" t="s">
        <v>258</v>
      </c>
    </row>
    <row r="11" spans="1:3" ht="82.8">
      <c r="A11" s="169" t="s">
        <v>40</v>
      </c>
      <c r="B11" s="173" t="s">
        <v>259</v>
      </c>
      <c r="C11" s="164" t="s">
        <v>260</v>
      </c>
    </row>
    <row r="12" spans="1:3" ht="82.8">
      <c r="A12" s="169" t="s">
        <v>261</v>
      </c>
      <c r="B12" s="173" t="s">
        <v>262</v>
      </c>
      <c r="C12" s="164" t="s">
        <v>263</v>
      </c>
    </row>
    <row r="13" spans="1:3" ht="30" customHeight="1">
      <c r="A13" s="169" t="s">
        <v>94</v>
      </c>
      <c r="B13" s="173" t="s">
        <v>264</v>
      </c>
      <c r="C13" s="164" t="s">
        <v>265</v>
      </c>
    </row>
    <row r="14" spans="1:3" ht="42.6" customHeight="1">
      <c r="A14" s="169" t="s">
        <v>107</v>
      </c>
      <c r="B14" s="173" t="s">
        <v>266</v>
      </c>
      <c r="C14" s="164" t="s">
        <v>267</v>
      </c>
    </row>
    <row r="15" spans="1:3" ht="41.4">
      <c r="A15" s="169" t="s">
        <v>48</v>
      </c>
      <c r="B15" s="173" t="s">
        <v>268</v>
      </c>
      <c r="C15" s="164" t="s">
        <v>269</v>
      </c>
    </row>
    <row r="16" spans="1:3" ht="27.6">
      <c r="A16" s="170" t="s">
        <v>270</v>
      </c>
      <c r="B16" s="173" t="s">
        <v>271</v>
      </c>
      <c r="C16" s="164" t="s">
        <v>272</v>
      </c>
    </row>
    <row r="17" spans="1:3" ht="41.4">
      <c r="A17" s="169" t="s">
        <v>37</v>
      </c>
      <c r="B17" s="173" t="s">
        <v>273</v>
      </c>
      <c r="C17" s="164" t="s">
        <v>274</v>
      </c>
    </row>
    <row r="18" spans="1:3" ht="27.6">
      <c r="A18" s="169" t="s">
        <v>66</v>
      </c>
      <c r="B18" s="173" t="s">
        <v>275</v>
      </c>
      <c r="C18" s="164" t="s">
        <v>276</v>
      </c>
    </row>
    <row r="19" spans="1:3" ht="84" customHeight="1">
      <c r="A19" s="169" t="s">
        <v>97</v>
      </c>
      <c r="B19" s="173" t="s">
        <v>277</v>
      </c>
      <c r="C19" s="164" t="s">
        <v>278</v>
      </c>
    </row>
    <row r="20" spans="1:3" ht="27.6">
      <c r="A20" s="169" t="s">
        <v>79</v>
      </c>
      <c r="B20" s="173" t="s">
        <v>279</v>
      </c>
      <c r="C20" s="164" t="s">
        <v>280</v>
      </c>
    </row>
    <row r="21" spans="1:3" s="172" customFormat="1">
      <c r="A21" s="210" t="s">
        <v>281</v>
      </c>
      <c r="B21" s="211"/>
      <c r="C21" s="212"/>
    </row>
    <row r="22" spans="1:3" ht="27.6">
      <c r="A22" s="170" t="s">
        <v>185</v>
      </c>
      <c r="B22" s="173" t="s">
        <v>282</v>
      </c>
      <c r="C22" s="164" t="s">
        <v>283</v>
      </c>
    </row>
    <row r="23" spans="1:3">
      <c r="A23" s="170" t="s">
        <v>118</v>
      </c>
      <c r="B23" s="175" t="s">
        <v>284</v>
      </c>
      <c r="C23" s="174" t="s">
        <v>285</v>
      </c>
    </row>
    <row r="24" spans="1:3" ht="27.6">
      <c r="A24" s="170" t="s">
        <v>155</v>
      </c>
      <c r="B24" s="173" t="s">
        <v>286</v>
      </c>
      <c r="C24" s="174" t="s">
        <v>287</v>
      </c>
    </row>
    <row r="25" spans="1:3" ht="27.6">
      <c r="A25" s="170" t="s">
        <v>197</v>
      </c>
      <c r="B25" s="173" t="s">
        <v>288</v>
      </c>
      <c r="C25" s="174" t="s">
        <v>289</v>
      </c>
    </row>
    <row r="26" spans="1:3" ht="27.6">
      <c r="A26" s="170" t="s">
        <v>150</v>
      </c>
      <c r="B26" s="173" t="s">
        <v>290</v>
      </c>
      <c r="C26" s="164" t="s">
        <v>291</v>
      </c>
    </row>
    <row r="27" spans="1:3" ht="30" customHeight="1">
      <c r="A27" s="170" t="s">
        <v>131</v>
      </c>
      <c r="B27" s="173" t="s">
        <v>292</v>
      </c>
      <c r="C27" s="164" t="s">
        <v>293</v>
      </c>
    </row>
    <row r="28" spans="1:3" ht="14.4">
      <c r="A28" s="170" t="s">
        <v>136</v>
      </c>
      <c r="B28" s="173" t="s">
        <v>294</v>
      </c>
      <c r="C28" s="164" t="s">
        <v>295</v>
      </c>
    </row>
    <row r="29" spans="1:3" ht="55.2">
      <c r="A29" s="170" t="s">
        <v>165</v>
      </c>
      <c r="B29" s="173" t="s">
        <v>296</v>
      </c>
      <c r="C29" s="164" t="s">
        <v>297</v>
      </c>
    </row>
    <row r="30" spans="1:3" s="176" customFormat="1">
      <c r="A30" s="213" t="s">
        <v>298</v>
      </c>
      <c r="B30" s="214"/>
      <c r="C30" s="215"/>
    </row>
    <row r="31" spans="1:3" ht="27.6">
      <c r="A31" s="170" t="s">
        <v>299</v>
      </c>
      <c r="B31" s="173" t="s">
        <v>300</v>
      </c>
      <c r="C31" s="164" t="s">
        <v>301</v>
      </c>
    </row>
    <row r="32" spans="1:3" ht="27.6">
      <c r="A32" s="170" t="s">
        <v>205</v>
      </c>
      <c r="B32" s="173" t="s">
        <v>302</v>
      </c>
      <c r="C32" s="178"/>
    </row>
    <row r="33" spans="1:3" ht="41.4">
      <c r="A33" s="170" t="s">
        <v>227</v>
      </c>
      <c r="B33" s="173" t="s">
        <v>303</v>
      </c>
      <c r="C33" s="179" t="s">
        <v>304</v>
      </c>
    </row>
    <row r="34" spans="1:3" ht="27.6">
      <c r="A34" s="170" t="s">
        <v>305</v>
      </c>
      <c r="B34" s="173" t="s">
        <v>306</v>
      </c>
      <c r="C34" s="174" t="s">
        <v>307</v>
      </c>
    </row>
    <row r="35" spans="1:3" ht="27.6">
      <c r="A35" s="170" t="s">
        <v>308</v>
      </c>
      <c r="B35" s="173" t="s">
        <v>309</v>
      </c>
      <c r="C35" s="179" t="s">
        <v>310</v>
      </c>
    </row>
    <row r="36" spans="1:3" ht="27.6">
      <c r="A36" s="170" t="s">
        <v>311</v>
      </c>
      <c r="B36" s="173" t="s">
        <v>312</v>
      </c>
      <c r="C36" s="164" t="s">
        <v>313</v>
      </c>
    </row>
    <row r="37" spans="1:3" ht="41.4">
      <c r="A37" s="170" t="s">
        <v>314</v>
      </c>
      <c r="B37" s="173" t="s">
        <v>315</v>
      </c>
      <c r="C37" s="179" t="s">
        <v>316</v>
      </c>
    </row>
    <row r="41" spans="1:3" ht="14.4">
      <c r="B41"/>
    </row>
  </sheetData>
  <sortState xmlns:xlrd2="http://schemas.microsoft.com/office/spreadsheetml/2017/richdata2" ref="A4:A20">
    <sortCondition ref="A4:A20"/>
  </sortState>
  <mergeCells count="3">
    <mergeCell ref="A2:C2"/>
    <mergeCell ref="A21:C21"/>
    <mergeCell ref="A30:C30"/>
  </mergeCells>
  <hyperlinks>
    <hyperlink ref="C23" r:id="rId1" xr:uid="{783BC4A3-4086-4E11-A315-6AEB45E8A122}"/>
    <hyperlink ref="C31" r:id="rId2" xr:uid="{E6867773-B85F-498B-9135-710DE493BAC7}"/>
    <hyperlink ref="C36" r:id="rId3" xr:uid="{27D74D13-C6BE-4093-8EA7-1B3795ADD443}"/>
    <hyperlink ref="C34" r:id="rId4" xr:uid="{52ABB063-70AF-4604-90A6-92F65AB33CE4}"/>
    <hyperlink ref="C22" r:id="rId5" xr:uid="{1D5249A8-9613-421C-AF83-A5AD10ABDE59}"/>
    <hyperlink ref="C29" r:id="rId6" xr:uid="{78825862-5C0B-429B-918E-E430B3FC1ED1}"/>
    <hyperlink ref="C27" r:id="rId7" xr:uid="{DAF2F220-85F8-4818-AC76-74422F762CCF}"/>
    <hyperlink ref="C24" r:id="rId8" xr:uid="{91788ABA-2BD6-4B89-BFFD-FAB48AB78CC0}"/>
    <hyperlink ref="C26" r:id="rId9" xr:uid="{248356A2-611E-4516-B9AF-A85174DAC8C8}"/>
    <hyperlink ref="C25" r:id="rId10" xr:uid="{C249159E-FD40-4AE3-8246-97BD4CFBC246}"/>
    <hyperlink ref="C6" r:id="rId11" xr:uid="{FB13830A-19B2-44C8-BE34-AD0DA3D60BE5}"/>
    <hyperlink ref="C7" r:id="rId12" xr:uid="{50EA2C6A-66A3-4B14-A5E2-A3418869A61C}"/>
    <hyperlink ref="C8" r:id="rId13" xr:uid="{E70C2D33-9D5F-4E67-8245-295527CEE020}"/>
    <hyperlink ref="C9" r:id="rId14" xr:uid="{4BC84CE8-AA2B-47A1-857B-CFBFF3A62DF8}"/>
    <hyperlink ref="C10" r:id="rId15" xr:uid="{AF99E4A5-72FA-480D-877B-C2101CC0B832}"/>
    <hyperlink ref="C15" r:id="rId16" xr:uid="{AE6CF32D-34A6-4E62-8998-A2890E4EC20C}"/>
    <hyperlink ref="C16" r:id="rId17" xr:uid="{1F3D5C70-F64D-4C38-BD9F-5DD206E72A87}"/>
    <hyperlink ref="C17" r:id="rId18" xr:uid="{C1D2A467-D9B8-47FE-BE62-6C8312317AE5}"/>
    <hyperlink ref="C18" r:id="rId19" xr:uid="{B48531F7-7FEB-4D8C-A88F-FF1701B97A27}"/>
    <hyperlink ref="C20" r:id="rId20" xr:uid="{69DB00FD-B46A-43F5-9456-77EC163032D3}"/>
    <hyperlink ref="C4" r:id="rId21" xr:uid="{989BD78F-B08C-42FA-8DDD-3887DB2BA535}"/>
    <hyperlink ref="C13" r:id="rId22" xr:uid="{EA0D8697-A4DC-4F3C-88DA-2FBE94D2ED41}"/>
    <hyperlink ref="C37" r:id="rId23" xr:uid="{83A56681-A380-4A63-8645-BC8E04B5EC32}"/>
    <hyperlink ref="C3" r:id="rId24" xr:uid="{F14AA9F2-F87F-4315-AA56-5958EFC9B54C}"/>
    <hyperlink ref="C11" r:id="rId25" xr:uid="{68B40DAA-238D-492D-A0DB-1558445E1AEF}"/>
    <hyperlink ref="C5" r:id="rId26" xr:uid="{31C0A6AC-2CE0-40C3-B930-38691A78341D}"/>
    <hyperlink ref="C12" r:id="rId27" xr:uid="{38ACF0FB-20D5-4B0C-864D-3315F6A2F604}"/>
    <hyperlink ref="C28" r:id="rId28" xr:uid="{D47DD550-E88E-4AAF-A5A2-A4CE50BAAED7}"/>
    <hyperlink ref="C19" r:id="rId29" xr:uid="{27F98973-B95A-4BE6-9C26-198365254D18}"/>
    <hyperlink ref="C14" r:id="rId30" xr:uid="{7C6C0009-A94A-4602-BEFD-4F72B91EC6FE}"/>
    <hyperlink ref="C33" r:id="rId31" xr:uid="{A2020DC0-619C-4B7F-B918-643C191D084F}"/>
    <hyperlink ref="C35" r:id="rId32" xr:uid="{01BE1E82-2FD2-443F-9D4A-54EBA3390DC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EF99EFDC33C6E41B104484FD3E0D8C6" ma:contentTypeVersion="17" ma:contentTypeDescription="Skapa ett nytt dokument." ma:contentTypeScope="" ma:versionID="22c1f030af46f95256dc74e55c4240ba">
  <xsd:schema xmlns:xsd="http://www.w3.org/2001/XMLSchema" xmlns:xs="http://www.w3.org/2001/XMLSchema" xmlns:p="http://schemas.microsoft.com/office/2006/metadata/properties" xmlns:ns2="bdc51464-d60a-4b5b-8137-84cff6a8af51" xmlns:ns3="caf619d2-c8b4-4eae-8df0-1f9a9957400a" targetNamespace="http://schemas.microsoft.com/office/2006/metadata/properties" ma:root="true" ma:fieldsID="9ad56c7555e4f778ea2176d4266d1773" ns2:_="" ns3:_="">
    <xsd:import namespace="bdc51464-d60a-4b5b-8137-84cff6a8af51"/>
    <xsd:import namespace="caf619d2-c8b4-4eae-8df0-1f9a9957400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c51464-d60a-4b5b-8137-84cff6a8af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Bildmarkeringar" ma:readOnly="false" ma:fieldId="{5cf76f15-5ced-4ddc-b409-7134ff3c332f}" ma:taxonomyMulti="true" ma:sspId="7b349a0b-edc6-45e9-bae2-b1a276329745"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f619d2-c8b4-4eae-8df0-1f9a9957400a" elementFormDefault="qualified">
    <xsd:import namespace="http://schemas.microsoft.com/office/2006/documentManagement/types"/>
    <xsd:import namespace="http://schemas.microsoft.com/office/infopath/2007/PartnerControls"/>
    <xsd:element name="SharedWithUsers" ma:index="16"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at med information" ma:internalName="SharedWithDetails" ma:readOnly="true">
      <xsd:simpleType>
        <xsd:restriction base="dms:Note">
          <xsd:maxLength value="255"/>
        </xsd:restriction>
      </xsd:simpleType>
    </xsd:element>
    <xsd:element name="TaxCatchAll" ma:index="22" nillable="true" ma:displayName="Taxonomy Catch All Column" ma:hidden="true" ma:list="{58ca8a60-bcd7-4cb1-9688-ec92c4d0f86f}" ma:internalName="TaxCatchAll" ma:showField="CatchAllData" ma:web="caf619d2-c8b4-4eae-8df0-1f9a995740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dc51464-d60a-4b5b-8137-84cff6a8af51">
      <Terms xmlns="http://schemas.microsoft.com/office/infopath/2007/PartnerControls"/>
    </lcf76f155ced4ddcb4097134ff3c332f>
    <TaxCatchAll xmlns="caf619d2-c8b4-4eae-8df0-1f9a9957400a" xsi:nil="true"/>
  </documentManagement>
</p:properties>
</file>

<file path=customXml/itemProps1.xml><?xml version="1.0" encoding="utf-8"?>
<ds:datastoreItem xmlns:ds="http://schemas.openxmlformats.org/officeDocument/2006/customXml" ds:itemID="{659C5120-5996-440E-AA0C-09B4F4CC68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c51464-d60a-4b5b-8137-84cff6a8af51"/>
    <ds:schemaRef ds:uri="caf619d2-c8b4-4eae-8df0-1f9a995740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623F34-FA3A-453F-9F14-DD7B77A357A0}">
  <ds:schemaRefs>
    <ds:schemaRef ds:uri="http://schemas.microsoft.com/sharepoint/v3/contenttype/forms"/>
  </ds:schemaRefs>
</ds:datastoreItem>
</file>

<file path=customXml/itemProps3.xml><?xml version="1.0" encoding="utf-8"?>
<ds:datastoreItem xmlns:ds="http://schemas.openxmlformats.org/officeDocument/2006/customXml" ds:itemID="{B51EED48-F311-41AF-9BF5-6C10C0F89C7B}">
  <ds:schemaRefs>
    <ds:schemaRef ds:uri="http://schemas.microsoft.com/office/2006/metadata/properties"/>
    <ds:schemaRef ds:uri="http://schemas.microsoft.com/office/infopath/2007/PartnerControls"/>
    <ds:schemaRef ds:uri="bdc51464-d60a-4b5b-8137-84cff6a8af51"/>
    <ds:schemaRef ds:uri="caf619d2-c8b4-4eae-8df0-1f9a995740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INFO</vt:lpstr>
      <vt:lpstr>AIR</vt:lpstr>
      <vt:lpstr>CHEM</vt:lpstr>
      <vt:lpstr>QALY</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Katarina Yaramenka</dc:creator>
  <cp:keywords/>
  <dc:description/>
  <cp:lastModifiedBy>Lovisa Årebäck</cp:lastModifiedBy>
  <cp:revision/>
  <dcterms:created xsi:type="dcterms:W3CDTF">2015-06-05T18:17:20Z</dcterms:created>
  <dcterms:modified xsi:type="dcterms:W3CDTF">2026-03-06T07:25:45Z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0x0101002EF99EFDC33C6E41B104484FD3E0D8C6</vt:lpwstr>
  </property>
</Properties>
</file>